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mdivy\Downloads\"/>
    </mc:Choice>
  </mc:AlternateContent>
  <xr:revisionPtr revIDLastSave="0" documentId="8_{867A92FB-E3C4-4D90-AD7D-C03077691B16}" xr6:coauthVersionLast="36" xr6:coauthVersionMax="36" xr10:uidLastSave="{00000000-0000-0000-0000-000000000000}"/>
  <bookViews>
    <workbookView xWindow="0" yWindow="0" windowWidth="11496" windowHeight="8916" activeTab="2" xr2:uid="{654B1462-55ED-4EDD-982E-6463BFFD1B5F}"/>
  </bookViews>
  <sheets>
    <sheet name="DATA" sheetId="1" r:id="rId1"/>
    <sheet name="CHARTS" sheetId="2" r:id="rId2"/>
    <sheet name="DASHBOARD" sheetId="3" r:id="rId3"/>
  </sheets>
  <definedNames>
    <definedName name="AMOUNT">Table256[Amount]</definedName>
    <definedName name="INCOME">Table256[INCOME]</definedName>
    <definedName name="MONTH">Table256[month]</definedName>
    <definedName name="PAYMENT">Table256[Payment Mode]</definedName>
    <definedName name="SAVINGG">CHARTS!$W$6:$W$17</definedName>
    <definedName name="SAVINGS">Table256[month]</definedName>
    <definedName name="Slicer_Category">#N/A</definedName>
    <definedName name="Slicer_month">#N/A</definedName>
    <definedName name="Slicer_Payment_Mode">#N/A</definedName>
    <definedName name="Sum_of_SAVINGS">CHARTS!$AL$9:$AL$20</definedName>
  </definedNames>
  <calcPr calcId="191029"/>
  <pivotCaches>
    <pivotCache cacheId="2" r:id="rId4"/>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17" i="3" l="1"/>
  <c r="S9" i="2"/>
  <c r="AL23" i="3" s="1"/>
  <c r="AR15" i="2"/>
  <c r="N12"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AT12" i="2"/>
  <c r="AL15" i="3"/>
  <c r="D7" i="2"/>
  <c r="AL12" i="3" s="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AL21" i="3"/>
  <c r="AP28" i="2"/>
</calcChain>
</file>

<file path=xl/sharedStrings.xml><?xml version="1.0" encoding="utf-8"?>
<sst xmlns="http://schemas.openxmlformats.org/spreadsheetml/2006/main" count="520" uniqueCount="52">
  <si>
    <t>Date</t>
  </si>
  <si>
    <t>month</t>
  </si>
  <si>
    <t>Category</t>
  </si>
  <si>
    <t>Amount</t>
  </si>
  <si>
    <t>Payment Mode</t>
  </si>
  <si>
    <t>SAVINGS</t>
  </si>
  <si>
    <t>Description</t>
  </si>
  <si>
    <t>Electricity Bill</t>
  </si>
  <si>
    <t>Cash</t>
  </si>
  <si>
    <t>Electricity Bill expense</t>
  </si>
  <si>
    <t>Mobile Bill</t>
  </si>
  <si>
    <t>Bank Transfer</t>
  </si>
  <si>
    <t>Mobile Bill expense</t>
  </si>
  <si>
    <t>Health</t>
  </si>
  <si>
    <t>Card</t>
  </si>
  <si>
    <t>Health expense</t>
  </si>
  <si>
    <t>UPI</t>
  </si>
  <si>
    <t>Entertainment</t>
  </si>
  <si>
    <t>Entertainment expense</t>
  </si>
  <si>
    <t>Food</t>
  </si>
  <si>
    <t>Food expense</t>
  </si>
  <si>
    <t>Transport</t>
  </si>
  <si>
    <t>Transport expense</t>
  </si>
  <si>
    <t>Shopping</t>
  </si>
  <si>
    <t>Shopping expense</t>
  </si>
  <si>
    <t>Rent</t>
  </si>
  <si>
    <t>Rent expense</t>
  </si>
  <si>
    <t>Groceries</t>
  </si>
  <si>
    <t>Groceries expense</t>
  </si>
  <si>
    <t>SALARY</t>
  </si>
  <si>
    <t>MONTHLY EXPENSES</t>
  </si>
  <si>
    <t>PAYMENT EXPENSES</t>
  </si>
  <si>
    <t>CATEGORY EXPENSES</t>
  </si>
  <si>
    <t>Row Labels</t>
  </si>
  <si>
    <t>May</t>
  </si>
  <si>
    <t>Grand Total</t>
  </si>
  <si>
    <t>Sum of Amount</t>
  </si>
  <si>
    <t>Sum of SAVINGS</t>
  </si>
  <si>
    <t>Jan</t>
  </si>
  <si>
    <t>Feb</t>
  </si>
  <si>
    <t>Mar</t>
  </si>
  <si>
    <t>Apr</t>
  </si>
  <si>
    <t>Jun</t>
  </si>
  <si>
    <t>Jul</t>
  </si>
  <si>
    <t>Aug</t>
  </si>
  <si>
    <t>Sep</t>
  </si>
  <si>
    <t>Oct</t>
  </si>
  <si>
    <t>Nov</t>
  </si>
  <si>
    <t>Dec</t>
  </si>
  <si>
    <t>I</t>
  </si>
  <si>
    <t>INCOME</t>
  </si>
  <si>
    <t>Sum of Sum of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</si>
</sst>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3" x14ac:knownFonts="1">
    <font>
      <sz val="11"/>
      <color theme="1"/>
      <name val="Corbel"/>
      <family val="2"/>
      <scheme val="minor"/>
    </font>
    <font>
      <b/>
      <sz val="11"/>
      <color indexed="8"/>
      <name val="Calibri"/>
      <family val="2"/>
    </font>
    <font>
      <sz val="11"/>
      <color indexed="8"/>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NumberFormat="1" applyFont="1" applyFill="1" applyBorder="1" applyAlignment="1" applyProtection="1">
      <alignment horizontal="center" vertical="top"/>
    </xf>
    <xf numFmtId="0" fontId="1" fillId="0" borderId="0" xfId="0" applyNumberFormat="1" applyFont="1" applyFill="1" applyBorder="1" applyAlignment="1" applyProtection="1">
      <alignment horizontal="center" vertical="top"/>
    </xf>
    <xf numFmtId="164" fontId="2" fillId="0" borderId="0" xfId="0" applyNumberFormat="1" applyFont="1" applyFill="1" applyBorder="1" applyAlignment="1" applyProtection="1">
      <alignment horizontal="center"/>
    </xf>
    <xf numFmtId="0" fontId="2" fillId="0" borderId="0" xfId="0" applyNumberFormat="1" applyFont="1" applyFill="1" applyBorder="1" applyAlignment="1" applyProtection="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4">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F800]dddd\,\ mmmm\ dd\,\ yyyy"/>
      <fill>
        <patternFill patternType="none">
          <fgColor indexed="64"/>
          <bgColor indexed="65"/>
        </patternFill>
      </fill>
      <alignment horizontal="center" vertical="bottom" textRotation="0" wrapText="0" indent="0" justifyLastLine="0" shrinkToFit="0" readingOrder="0"/>
      <protection locked="1" hidden="0"/>
    </dxf>
    <dxf>
      <border outline="0">
        <top style="thin">
          <color auto="1"/>
        </top>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0" indent="0" justifyLastLine="0" shrinkToFit="0" readingOrder="0"/>
      <protection locked="1" hidden="0"/>
    </dxf>
    <dxf>
      <border outline="0">
        <bottom style="thin">
          <color auto="1"/>
        </bottom>
      </border>
    </dxf>
    <dxf>
      <font>
        <b/>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protection locked="1" hidden="0"/>
    </dxf>
    <dxf>
      <font>
        <b/>
        <i val="0"/>
        <sz val="14"/>
        <color theme="1"/>
        <name val="Algerian"/>
        <family val="5"/>
        <scheme val="none"/>
      </font>
      <fill>
        <patternFill>
          <bgColor theme="8"/>
        </patternFill>
      </fill>
      <border diagonalUp="0" diagonalDown="0">
        <left/>
        <right/>
        <top/>
        <bottom/>
        <vertical/>
        <horizontal/>
      </border>
    </dxf>
    <dxf>
      <fill>
        <patternFill>
          <fgColor theme="8"/>
          <bgColor theme="8"/>
        </patternFill>
      </fill>
    </dxf>
  </dxfs>
  <tableStyles count="1" defaultTableStyle="TableStyleMedium2" defaultPivotStyle="PivotStyleLight16">
    <tableStyle name="Slicer Style 1" pivot="0" table="0" count="3" xr9:uid="{1FED1A85-90B7-4C23-AC15-1C6C0684E6DA}">
      <tableStyleElement type="wholeTable" dxfId="13"/>
      <tableStyleElement type="headerRow" dxfId="12"/>
    </tableStyle>
  </tableStyles>
  <extLst>
    <ext xmlns:x14="http://schemas.microsoft.com/office/spreadsheetml/2009/9/main" uri="{46F421CA-312F-682f-3DD2-61675219B42D}">
      <x14:dxfs count="1">
        <dxf>
          <font>
            <b/>
            <i val="0"/>
            <sz val="14"/>
            <color theme="1"/>
            <name val="Algerian"/>
            <family val="5"/>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1.xlsx]CHARTS!PivotTable39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CHARTS!$B$5</c:f>
              <c:strCache>
                <c:ptCount val="1"/>
                <c:pt idx="0">
                  <c:v>Total</c:v>
                </c:pt>
              </c:strCache>
            </c:strRef>
          </c:tx>
          <c:spPr>
            <a:solidFill>
              <a:schemeClr val="accent1"/>
            </a:solidFill>
            <a:ln>
              <a:noFill/>
            </a:ln>
            <a:effectLst/>
          </c:spPr>
          <c:invertIfNegative val="0"/>
          <c:cat>
            <c:strRef>
              <c:f>CHARTS!$A$6</c:f>
              <c:strCache>
                <c:ptCount val="1"/>
                <c:pt idx="0">
                  <c:v>May</c:v>
                </c:pt>
              </c:strCache>
            </c:strRef>
          </c:cat>
          <c:val>
            <c:numRef>
              <c:f>CHARTS!$B$6</c:f>
              <c:numCache>
                <c:formatCode>General</c:formatCode>
                <c:ptCount val="1"/>
                <c:pt idx="0">
                  <c:v>67100.06</c:v>
                </c:pt>
              </c:numCache>
            </c:numRef>
          </c:val>
          <c:extLst>
            <c:ext xmlns:c16="http://schemas.microsoft.com/office/drawing/2014/chart" uri="{C3380CC4-5D6E-409C-BE32-E72D297353CC}">
              <c16:uniqueId val="{00000000-3414-40E3-871B-DBAB94D6DB36}"/>
            </c:ext>
          </c:extLst>
        </c:ser>
        <c:dLbls>
          <c:showLegendKey val="0"/>
          <c:showVal val="0"/>
          <c:showCatName val="0"/>
          <c:showSerName val="0"/>
          <c:showPercent val="0"/>
          <c:showBubbleSize val="0"/>
        </c:dLbls>
        <c:gapWidth val="219"/>
        <c:overlap val="-27"/>
        <c:axId val="861761776"/>
        <c:axId val="314657312"/>
      </c:barChart>
      <c:catAx>
        <c:axId val="86176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57312"/>
        <c:crosses val="autoZero"/>
        <c:auto val="1"/>
        <c:lblAlgn val="ctr"/>
        <c:lblOffset val="100"/>
        <c:noMultiLvlLbl val="0"/>
      </c:catAx>
      <c:valAx>
        <c:axId val="3146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19-4A2D-9109-46E8730918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19-4A2D-9109-46E8730918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19-4A2D-9109-46E8730918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19-4A2D-9109-46E8730918D0}"/>
              </c:ext>
            </c:extLst>
          </c:dPt>
          <c:cat>
            <c:strRef>
              <c:f>CHARTS!$H$6:$H$9</c:f>
              <c:strCache>
                <c:ptCount val="4"/>
                <c:pt idx="0">
                  <c:v>Bank Transfer</c:v>
                </c:pt>
                <c:pt idx="1">
                  <c:v>Card</c:v>
                </c:pt>
                <c:pt idx="2">
                  <c:v>Cash</c:v>
                </c:pt>
                <c:pt idx="3">
                  <c:v>UPI</c:v>
                </c:pt>
              </c:strCache>
            </c:strRef>
          </c:cat>
          <c:val>
            <c:numRef>
              <c:f>CHARTS!$I$6:$I$9</c:f>
              <c:numCache>
                <c:formatCode>General</c:formatCode>
                <c:ptCount val="4"/>
                <c:pt idx="0">
                  <c:v>9466.19</c:v>
                </c:pt>
                <c:pt idx="1">
                  <c:v>19049.93</c:v>
                </c:pt>
                <c:pt idx="2">
                  <c:v>10830.279999999999</c:v>
                </c:pt>
                <c:pt idx="3">
                  <c:v>27753.66</c:v>
                </c:pt>
              </c:numCache>
            </c:numRef>
          </c:val>
          <c:extLst>
            <c:ext xmlns:c16="http://schemas.microsoft.com/office/drawing/2014/chart" uri="{C3380CC4-5D6E-409C-BE32-E72D297353CC}">
              <c16:uniqueId val="{00000000-6AAA-4C73-A3E0-5B9A2760F2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CHARTS!$O$5</c:f>
              <c:strCache>
                <c:ptCount val="1"/>
                <c:pt idx="0">
                  <c:v>Total</c:v>
                </c:pt>
              </c:strCache>
            </c:strRef>
          </c:tx>
          <c:spPr>
            <a:solidFill>
              <a:schemeClr val="accent1"/>
            </a:solidFill>
            <a:ln>
              <a:noFill/>
            </a:ln>
            <a:effectLst/>
          </c:spPr>
          <c:cat>
            <c:strRef>
              <c:f>CHARTS!$N$6:$N$12</c:f>
              <c:strCache>
                <c:ptCount val="7"/>
                <c:pt idx="0">
                  <c:v>Electricity Bill</c:v>
                </c:pt>
                <c:pt idx="1">
                  <c:v>Entertainment</c:v>
                </c:pt>
                <c:pt idx="2">
                  <c:v>Groceries</c:v>
                </c:pt>
                <c:pt idx="3">
                  <c:v>Health</c:v>
                </c:pt>
                <c:pt idx="4">
                  <c:v>Mobile Bill</c:v>
                </c:pt>
                <c:pt idx="5">
                  <c:v>Shopping</c:v>
                </c:pt>
                <c:pt idx="6">
                  <c:v>Transport</c:v>
                </c:pt>
              </c:strCache>
            </c:strRef>
          </c:cat>
          <c:val>
            <c:numRef>
              <c:f>CHARTS!$O$6:$O$12</c:f>
              <c:numCache>
                <c:formatCode>General</c:formatCode>
                <c:ptCount val="7"/>
                <c:pt idx="0">
                  <c:v>12667.380000000001</c:v>
                </c:pt>
                <c:pt idx="1">
                  <c:v>19393.03</c:v>
                </c:pt>
                <c:pt idx="2">
                  <c:v>6501.42</c:v>
                </c:pt>
                <c:pt idx="3">
                  <c:v>1038.72</c:v>
                </c:pt>
                <c:pt idx="4">
                  <c:v>8818.66</c:v>
                </c:pt>
                <c:pt idx="5">
                  <c:v>14632.300000000001</c:v>
                </c:pt>
                <c:pt idx="6">
                  <c:v>4048.55</c:v>
                </c:pt>
              </c:numCache>
            </c:numRef>
          </c:val>
          <c:extLst>
            <c:ext xmlns:c16="http://schemas.microsoft.com/office/drawing/2014/chart" uri="{C3380CC4-5D6E-409C-BE32-E72D297353CC}">
              <c16:uniqueId val="{00000000-A494-41CE-A0BE-51696C352C50}"/>
            </c:ext>
          </c:extLst>
        </c:ser>
        <c:dLbls>
          <c:showLegendKey val="0"/>
          <c:showVal val="0"/>
          <c:showCatName val="0"/>
          <c:showSerName val="0"/>
          <c:showPercent val="0"/>
          <c:showBubbleSize val="0"/>
        </c:dLbls>
        <c:axId val="861780576"/>
        <c:axId val="314657728"/>
      </c:areaChart>
      <c:catAx>
        <c:axId val="8617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57728"/>
        <c:crosses val="autoZero"/>
        <c:auto val="1"/>
        <c:lblAlgn val="ctr"/>
        <c:lblOffset val="100"/>
        <c:noMultiLvlLbl val="0"/>
      </c:catAx>
      <c:valAx>
        <c:axId val="31465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80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CHARTS!$W$5</c:f>
              <c:strCache>
                <c:ptCount val="1"/>
                <c:pt idx="0">
                  <c:v>Total</c:v>
                </c:pt>
              </c:strCache>
            </c:strRef>
          </c:tx>
          <c:spPr>
            <a:solidFill>
              <a:schemeClr val="accent1"/>
            </a:solidFill>
            <a:ln>
              <a:noFill/>
            </a:ln>
            <a:effectLst/>
          </c:spPr>
          <c:invertIfNegative val="0"/>
          <c:cat>
            <c:strRef>
              <c:f>CHARTS!$V$6</c:f>
              <c:strCache>
                <c:ptCount val="1"/>
                <c:pt idx="0">
                  <c:v>May</c:v>
                </c:pt>
              </c:strCache>
            </c:strRef>
          </c:cat>
          <c:val>
            <c:numRef>
              <c:f>CHARTS!$W$6</c:f>
              <c:numCache>
                <c:formatCode>General</c:formatCode>
                <c:ptCount val="1"/>
                <c:pt idx="0">
                  <c:v>214899.94</c:v>
                </c:pt>
              </c:numCache>
            </c:numRef>
          </c:val>
          <c:extLst>
            <c:ext xmlns:c16="http://schemas.microsoft.com/office/drawing/2014/chart" uri="{C3380CC4-5D6E-409C-BE32-E72D297353CC}">
              <c16:uniqueId val="{00000000-7824-48A8-85EA-A3B7296E40DA}"/>
            </c:ext>
          </c:extLst>
        </c:ser>
        <c:dLbls>
          <c:showLegendKey val="0"/>
          <c:showVal val="0"/>
          <c:showCatName val="0"/>
          <c:showSerName val="0"/>
          <c:showPercent val="0"/>
          <c:showBubbleSize val="0"/>
        </c:dLbls>
        <c:gapWidth val="182"/>
        <c:axId val="311186976"/>
        <c:axId val="24298528"/>
      </c:barChart>
      <c:catAx>
        <c:axId val="31118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98528"/>
        <c:crosses val="autoZero"/>
        <c:auto val="1"/>
        <c:lblAlgn val="ctr"/>
        <c:lblOffset val="100"/>
        <c:noMultiLvlLbl val="0"/>
      </c:catAx>
      <c:valAx>
        <c:axId val="2429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8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CHARTS!$AL$8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D-448F-8587-EFB452AD8C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2D-448F-8587-EFB452AD8C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2D-448F-8587-EFB452AD8C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2D-448F-8587-EFB452AD8C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2D-448F-8587-EFB452AD8C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2D-448F-8587-EFB452AD8CC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2D-448F-8587-EFB452AD8C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62D-448F-8587-EFB452AD8C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62D-448F-8587-EFB452AD8CC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62D-448F-8587-EFB452AD8CC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62D-448F-8587-EFB452AD8CC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62D-448F-8587-EFB452AD8CC2}"/>
              </c:ext>
            </c:extLst>
          </c:dPt>
          <c:cat>
            <c:strRef>
              <c:f>CHARTS!$AK$9:$AK$21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CHARTS!$AL$9:$AL$21</c:f>
              <c:numCache>
                <c:formatCode>General</c:formatCode>
                <c:ptCount val="12"/>
                <c:pt idx="0">
                  <c:v>220475.38</c:v>
                </c:pt>
                <c:pt idx="1">
                  <c:v>139979.37999999998</c:v>
                </c:pt>
                <c:pt idx="2">
                  <c:v>196342.09999999998</c:v>
                </c:pt>
                <c:pt idx="3">
                  <c:v>200643.6</c:v>
                </c:pt>
                <c:pt idx="4">
                  <c:v>214899.93999999997</c:v>
                </c:pt>
                <c:pt idx="5">
                  <c:v>203678.18999999997</c:v>
                </c:pt>
                <c:pt idx="6">
                  <c:v>416365.09999999986</c:v>
                </c:pt>
                <c:pt idx="7">
                  <c:v>241696.88</c:v>
                </c:pt>
                <c:pt idx="8">
                  <c:v>305101.51999999996</c:v>
                </c:pt>
                <c:pt idx="9">
                  <c:v>239584.75000000003</c:v>
                </c:pt>
                <c:pt idx="10">
                  <c:v>238426.74</c:v>
                </c:pt>
                <c:pt idx="11">
                  <c:v>134780.75</c:v>
                </c:pt>
              </c:numCache>
            </c:numRef>
          </c:val>
          <c:extLst>
            <c:ext xmlns:c16="http://schemas.microsoft.com/office/drawing/2014/chart" uri="{C3380CC4-5D6E-409C-BE32-E72D297353CC}">
              <c16:uniqueId val="{00000000-9F68-47E3-8910-D4FCF283A3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1.xlsx]CHARTS!PivotTable39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CHARTS!$B$5</c:f>
              <c:strCache>
                <c:ptCount val="1"/>
                <c:pt idx="0">
                  <c:v>Total</c:v>
                </c:pt>
              </c:strCache>
            </c:strRef>
          </c:tx>
          <c:spPr>
            <a:solidFill>
              <a:schemeClr val="accent1"/>
            </a:solidFill>
            <a:ln>
              <a:noFill/>
            </a:ln>
            <a:effectLst/>
          </c:spPr>
          <c:invertIfNegative val="0"/>
          <c:cat>
            <c:strRef>
              <c:f>CHARTS!$A$6</c:f>
              <c:strCache>
                <c:ptCount val="1"/>
                <c:pt idx="0">
                  <c:v>May</c:v>
                </c:pt>
              </c:strCache>
            </c:strRef>
          </c:cat>
          <c:val>
            <c:numRef>
              <c:f>CHARTS!$B$6</c:f>
              <c:numCache>
                <c:formatCode>General</c:formatCode>
                <c:ptCount val="1"/>
                <c:pt idx="0">
                  <c:v>67100.06</c:v>
                </c:pt>
              </c:numCache>
            </c:numRef>
          </c:val>
          <c:extLst>
            <c:ext xmlns:c16="http://schemas.microsoft.com/office/drawing/2014/chart" uri="{C3380CC4-5D6E-409C-BE32-E72D297353CC}">
              <c16:uniqueId val="{00000000-AE42-4E6D-9377-9C8EC7059329}"/>
            </c:ext>
          </c:extLst>
        </c:ser>
        <c:dLbls>
          <c:showLegendKey val="0"/>
          <c:showVal val="0"/>
          <c:showCatName val="0"/>
          <c:showSerName val="0"/>
          <c:showPercent val="0"/>
          <c:showBubbleSize val="0"/>
        </c:dLbls>
        <c:gapWidth val="219"/>
        <c:overlap val="-27"/>
        <c:axId val="861761776"/>
        <c:axId val="314657312"/>
      </c:barChart>
      <c:catAx>
        <c:axId val="86176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57312"/>
        <c:crosses val="autoZero"/>
        <c:auto val="1"/>
        <c:lblAlgn val="ctr"/>
        <c:lblOffset val="100"/>
        <c:noMultiLvlLbl val="0"/>
      </c:catAx>
      <c:valAx>
        <c:axId val="31465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CHARTS!$I$5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7E-41C0-A027-FEA0EC6F9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7E-41C0-A027-FEA0EC6F9C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7E-41C0-A027-FEA0EC6F9C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7E-41C0-A027-FEA0EC6F9C94}"/>
              </c:ext>
            </c:extLst>
          </c:dPt>
          <c:cat>
            <c:strRef>
              <c:f>CHARTS!$H$6:$H$9</c:f>
              <c:strCache>
                <c:ptCount val="4"/>
                <c:pt idx="0">
                  <c:v>Bank Transfer</c:v>
                </c:pt>
                <c:pt idx="1">
                  <c:v>Card</c:v>
                </c:pt>
                <c:pt idx="2">
                  <c:v>Cash</c:v>
                </c:pt>
                <c:pt idx="3">
                  <c:v>UPI</c:v>
                </c:pt>
              </c:strCache>
            </c:strRef>
          </c:cat>
          <c:val>
            <c:numRef>
              <c:f>CHARTS!$I$6:$I$9</c:f>
              <c:numCache>
                <c:formatCode>General</c:formatCode>
                <c:ptCount val="4"/>
                <c:pt idx="0">
                  <c:v>9466.19</c:v>
                </c:pt>
                <c:pt idx="1">
                  <c:v>19049.93</c:v>
                </c:pt>
                <c:pt idx="2">
                  <c:v>10830.279999999999</c:v>
                </c:pt>
                <c:pt idx="3">
                  <c:v>27753.66</c:v>
                </c:pt>
              </c:numCache>
            </c:numRef>
          </c:val>
          <c:extLst>
            <c:ext xmlns:c16="http://schemas.microsoft.com/office/drawing/2014/chart" uri="{C3380CC4-5D6E-409C-BE32-E72D297353CC}">
              <c16:uniqueId val="{00000008-7F7E-41C0-A027-FEA0EC6F9C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CHARTS!$O$5</c:f>
              <c:strCache>
                <c:ptCount val="1"/>
                <c:pt idx="0">
                  <c:v>Total</c:v>
                </c:pt>
              </c:strCache>
            </c:strRef>
          </c:tx>
          <c:spPr>
            <a:solidFill>
              <a:schemeClr val="accent1"/>
            </a:solidFill>
            <a:ln>
              <a:noFill/>
            </a:ln>
            <a:effectLst/>
          </c:spPr>
          <c:cat>
            <c:strRef>
              <c:f>CHARTS!$N$6:$N$12</c:f>
              <c:strCache>
                <c:ptCount val="7"/>
                <c:pt idx="0">
                  <c:v>Electricity Bill</c:v>
                </c:pt>
                <c:pt idx="1">
                  <c:v>Entertainment</c:v>
                </c:pt>
                <c:pt idx="2">
                  <c:v>Groceries</c:v>
                </c:pt>
                <c:pt idx="3">
                  <c:v>Health</c:v>
                </c:pt>
                <c:pt idx="4">
                  <c:v>Mobile Bill</c:v>
                </c:pt>
                <c:pt idx="5">
                  <c:v>Shopping</c:v>
                </c:pt>
                <c:pt idx="6">
                  <c:v>Transport</c:v>
                </c:pt>
              </c:strCache>
            </c:strRef>
          </c:cat>
          <c:val>
            <c:numRef>
              <c:f>CHARTS!$O$6:$O$12</c:f>
              <c:numCache>
                <c:formatCode>General</c:formatCode>
                <c:ptCount val="7"/>
                <c:pt idx="0">
                  <c:v>12667.380000000001</c:v>
                </c:pt>
                <c:pt idx="1">
                  <c:v>19393.03</c:v>
                </c:pt>
                <c:pt idx="2">
                  <c:v>6501.42</c:v>
                </c:pt>
                <c:pt idx="3">
                  <c:v>1038.72</c:v>
                </c:pt>
                <c:pt idx="4">
                  <c:v>8818.66</c:v>
                </c:pt>
                <c:pt idx="5">
                  <c:v>14632.300000000001</c:v>
                </c:pt>
                <c:pt idx="6">
                  <c:v>4048.55</c:v>
                </c:pt>
              </c:numCache>
            </c:numRef>
          </c:val>
          <c:extLst>
            <c:ext xmlns:c16="http://schemas.microsoft.com/office/drawing/2014/chart" uri="{C3380CC4-5D6E-409C-BE32-E72D297353CC}">
              <c16:uniqueId val="{00000000-1836-4DD6-B304-3EF7829C77F3}"/>
            </c:ext>
          </c:extLst>
        </c:ser>
        <c:dLbls>
          <c:showLegendKey val="0"/>
          <c:showVal val="0"/>
          <c:showCatName val="0"/>
          <c:showSerName val="0"/>
          <c:showPercent val="0"/>
          <c:showBubbleSize val="0"/>
        </c:dLbls>
        <c:axId val="861780576"/>
        <c:axId val="314657728"/>
      </c:areaChart>
      <c:catAx>
        <c:axId val="861780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657728"/>
        <c:crosses val="autoZero"/>
        <c:auto val="1"/>
        <c:lblAlgn val="ctr"/>
        <c:lblOffset val="100"/>
        <c:noMultiLvlLbl val="0"/>
      </c:catAx>
      <c:valAx>
        <c:axId val="314657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780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7540003906 expense tracker project 1.xlsx]CHARTS!PivotTable43</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CHARTS!$W$5</c:f>
              <c:strCache>
                <c:ptCount val="1"/>
                <c:pt idx="0">
                  <c:v>Total</c:v>
                </c:pt>
              </c:strCache>
            </c:strRef>
          </c:tx>
          <c:spPr>
            <a:solidFill>
              <a:schemeClr val="accent1"/>
            </a:solidFill>
            <a:ln>
              <a:noFill/>
            </a:ln>
            <a:effectLst/>
          </c:spPr>
          <c:invertIfNegative val="0"/>
          <c:cat>
            <c:strRef>
              <c:f>CHARTS!$V$6</c:f>
              <c:strCache>
                <c:ptCount val="1"/>
                <c:pt idx="0">
                  <c:v>May</c:v>
                </c:pt>
              </c:strCache>
            </c:strRef>
          </c:cat>
          <c:val>
            <c:numRef>
              <c:f>CHARTS!$W$6</c:f>
              <c:numCache>
                <c:formatCode>General</c:formatCode>
                <c:ptCount val="1"/>
                <c:pt idx="0">
                  <c:v>214899.94</c:v>
                </c:pt>
              </c:numCache>
            </c:numRef>
          </c:val>
          <c:extLst>
            <c:ext xmlns:c16="http://schemas.microsoft.com/office/drawing/2014/chart" uri="{C3380CC4-5D6E-409C-BE32-E72D297353CC}">
              <c16:uniqueId val="{00000000-07E9-44A5-993E-461956FA1249}"/>
            </c:ext>
          </c:extLst>
        </c:ser>
        <c:dLbls>
          <c:showLegendKey val="0"/>
          <c:showVal val="0"/>
          <c:showCatName val="0"/>
          <c:showSerName val="0"/>
          <c:showPercent val="0"/>
          <c:showBubbleSize val="0"/>
        </c:dLbls>
        <c:gapWidth val="182"/>
        <c:axId val="311186976"/>
        <c:axId val="24298528"/>
      </c:barChart>
      <c:catAx>
        <c:axId val="311186976"/>
        <c:scaling>
          <c:orientation val="minMax"/>
        </c:scaling>
        <c:delete val="1"/>
        <c:axPos val="l"/>
        <c:numFmt formatCode="General" sourceLinked="1"/>
        <c:majorTickMark val="none"/>
        <c:minorTickMark val="none"/>
        <c:tickLblPos val="nextTo"/>
        <c:crossAx val="24298528"/>
        <c:crosses val="autoZero"/>
        <c:auto val="1"/>
        <c:lblAlgn val="ctr"/>
        <c:lblOffset val="100"/>
        <c:noMultiLvlLbl val="0"/>
      </c:catAx>
      <c:valAx>
        <c:axId val="242985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1118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175260</xdr:rowOff>
    </xdr:from>
    <xdr:to>
      <xdr:col>4</xdr:col>
      <xdr:colOff>320040</xdr:colOff>
      <xdr:row>31</xdr:row>
      <xdr:rowOff>99060</xdr:rowOff>
    </xdr:to>
    <xdr:graphicFrame macro="">
      <xdr:nvGraphicFramePr>
        <xdr:cNvPr id="2" name="Chart 1">
          <a:extLst>
            <a:ext uri="{FF2B5EF4-FFF2-40B4-BE49-F238E27FC236}">
              <a16:creationId xmlns:a16="http://schemas.microsoft.com/office/drawing/2014/main" id="{EF42AEC7-82B4-4392-B56B-B908189F6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121920</xdr:colOff>
      <xdr:row>13</xdr:row>
      <xdr:rowOff>175260</xdr:rowOff>
    </xdr:from>
    <xdr:to>
      <xdr:col>9</xdr:col>
      <xdr:colOff>312420</xdr:colOff>
      <xdr:row>24</xdr:row>
      <xdr:rowOff>175260</xdr:rowOff>
    </xdr:to>
    <xdr:graphicFrame macro="">
      <xdr:nvGraphicFramePr>
        <xdr:cNvPr id="3" name="Chart 2">
          <a:extLst>
            <a:ext uri="{FF2B5EF4-FFF2-40B4-BE49-F238E27FC236}">
              <a16:creationId xmlns:a16="http://schemas.microsoft.com/office/drawing/2014/main" id="{AFD0942B-E997-4905-9620-5D2E3587C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17</xdr:row>
      <xdr:rowOff>45720</xdr:rowOff>
    </xdr:from>
    <xdr:to>
      <xdr:col>17</xdr:col>
      <xdr:colOff>457200</xdr:colOff>
      <xdr:row>26</xdr:row>
      <xdr:rowOff>22860</xdr:rowOff>
    </xdr:to>
    <xdr:graphicFrame macro="">
      <xdr:nvGraphicFramePr>
        <xdr:cNvPr id="4" name="Chart 3">
          <a:extLst>
            <a:ext uri="{FF2B5EF4-FFF2-40B4-BE49-F238E27FC236}">
              <a16:creationId xmlns:a16="http://schemas.microsoft.com/office/drawing/2014/main" id="{86420E44-B134-48A5-A985-6633BA76F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259080</xdr:colOff>
      <xdr:row>18</xdr:row>
      <xdr:rowOff>114300</xdr:rowOff>
    </xdr:from>
    <xdr:to>
      <xdr:col>25</xdr:col>
      <xdr:colOff>495300</xdr:colOff>
      <xdr:row>33</xdr:row>
      <xdr:rowOff>114300</xdr:rowOff>
    </xdr:to>
    <xdr:graphicFrame macro="">
      <xdr:nvGraphicFramePr>
        <xdr:cNvPr id="5" name="Chart 4">
          <a:extLst>
            <a:ext uri="{FF2B5EF4-FFF2-40B4-BE49-F238E27FC236}">
              <a16:creationId xmlns:a16="http://schemas.microsoft.com/office/drawing/2014/main" id="{818A4FBC-5548-4213-9C3C-F12FF7D6B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30480</xdr:colOff>
      <xdr:row>4</xdr:row>
      <xdr:rowOff>137160</xdr:rowOff>
    </xdr:from>
    <xdr:to>
      <xdr:col>34</xdr:col>
      <xdr:colOff>30480</xdr:colOff>
      <xdr:row>18</xdr:row>
      <xdr:rowOff>99695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6BC784F3-7B72-4D0E-BA9D-2CE8135047A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331680" y="868680"/>
              <a:ext cx="1828800" cy="252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30480</xdr:colOff>
      <xdr:row>3</xdr:row>
      <xdr:rowOff>167640</xdr:rowOff>
    </xdr:from>
    <xdr:to>
      <xdr:col>27</xdr:col>
      <xdr:colOff>30480</xdr:colOff>
      <xdr:row>17</xdr:row>
      <xdr:rowOff>130175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FDE850E-349E-49F4-9A90-46C8284A54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064480" y="716280"/>
              <a:ext cx="1828800" cy="252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259080</xdr:colOff>
      <xdr:row>4</xdr:row>
      <xdr:rowOff>106680</xdr:rowOff>
    </xdr:from>
    <xdr:to>
      <xdr:col>30</xdr:col>
      <xdr:colOff>259080</xdr:colOff>
      <xdr:row>18</xdr:row>
      <xdr:rowOff>69215</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1EE6C70A-D451-4D5B-A8CE-7098BD3C0B4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20121880" y="838200"/>
              <a:ext cx="1828800" cy="252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416560</xdr:colOff>
      <xdr:row>23</xdr:row>
      <xdr:rowOff>81280</xdr:rowOff>
    </xdr:from>
    <xdr:to>
      <xdr:col>33</xdr:col>
      <xdr:colOff>111760</xdr:colOff>
      <xdr:row>35</xdr:row>
      <xdr:rowOff>20320</xdr:rowOff>
    </xdr:to>
    <xdr:graphicFrame macro="">
      <xdr:nvGraphicFramePr>
        <xdr:cNvPr id="9" name="Chart 8">
          <a:extLst>
            <a:ext uri="{FF2B5EF4-FFF2-40B4-BE49-F238E27FC236}">
              <a16:creationId xmlns:a16="http://schemas.microsoft.com/office/drawing/2014/main" id="{E007D030-842C-4DFB-B956-E0E400216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358140</xdr:colOff>
      <xdr:row>2</xdr:row>
      <xdr:rowOff>99060</xdr:rowOff>
    </xdr:from>
    <xdr:to>
      <xdr:col>23</xdr:col>
      <xdr:colOff>313316</xdr:colOff>
      <xdr:row>42</xdr:row>
      <xdr:rowOff>9413</xdr:rowOff>
    </xdr:to>
    <xdr:sp macro="" textlink="">
      <xdr:nvSpPr>
        <xdr:cNvPr id="22" name="Rectangle 21">
          <a:extLst>
            <a:ext uri="{FF2B5EF4-FFF2-40B4-BE49-F238E27FC236}">
              <a16:creationId xmlns:a16="http://schemas.microsoft.com/office/drawing/2014/main" id="{33369AAE-1157-4FF7-BEB1-EAA263A52030}"/>
            </a:ext>
          </a:extLst>
        </xdr:cNvPr>
        <xdr:cNvSpPr/>
      </xdr:nvSpPr>
      <xdr:spPr>
        <a:xfrm>
          <a:off x="967740" y="474198"/>
          <a:ext cx="13366376" cy="7413123"/>
        </a:xfrm>
        <a:prstGeom prst="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600187</xdr:colOff>
      <xdr:row>3</xdr:row>
      <xdr:rowOff>85296</xdr:rowOff>
    </xdr:from>
    <xdr:to>
      <xdr:col>22</xdr:col>
      <xdr:colOff>600187</xdr:colOff>
      <xdr:row>8</xdr:row>
      <xdr:rowOff>78106</xdr:rowOff>
    </xdr:to>
    <xdr:sp macro="" textlink="">
      <xdr:nvSpPr>
        <xdr:cNvPr id="23" name="Rectangle: Rounded Corners 22">
          <a:extLst>
            <a:ext uri="{FF2B5EF4-FFF2-40B4-BE49-F238E27FC236}">
              <a16:creationId xmlns:a16="http://schemas.microsoft.com/office/drawing/2014/main" id="{CE8EFC78-8D64-402D-AFBF-150BE69C4924}"/>
            </a:ext>
          </a:extLst>
        </xdr:cNvPr>
        <xdr:cNvSpPr/>
      </xdr:nvSpPr>
      <xdr:spPr>
        <a:xfrm>
          <a:off x="1209787" y="633936"/>
          <a:ext cx="12801600" cy="907210"/>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295387</xdr:colOff>
      <xdr:row>9</xdr:row>
      <xdr:rowOff>113648</xdr:rowOff>
    </xdr:from>
    <xdr:to>
      <xdr:col>10</xdr:col>
      <xdr:colOff>474680</xdr:colOff>
      <xdr:row>14</xdr:row>
      <xdr:rowOff>106458</xdr:rowOff>
    </xdr:to>
    <xdr:sp macro="" textlink="">
      <xdr:nvSpPr>
        <xdr:cNvPr id="24" name="Rectangle: Rounded Corners 23">
          <a:extLst>
            <a:ext uri="{FF2B5EF4-FFF2-40B4-BE49-F238E27FC236}">
              <a16:creationId xmlns:a16="http://schemas.microsoft.com/office/drawing/2014/main" id="{717B75FC-6CEC-4445-8925-EF3782004BFB}"/>
            </a:ext>
          </a:extLst>
        </xdr:cNvPr>
        <xdr:cNvSpPr/>
      </xdr:nvSpPr>
      <xdr:spPr>
        <a:xfrm>
          <a:off x="3350932" y="1743272"/>
          <a:ext cx="3234837" cy="898156"/>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142987</xdr:colOff>
      <xdr:row>9</xdr:row>
      <xdr:rowOff>113648</xdr:rowOff>
    </xdr:from>
    <xdr:to>
      <xdr:col>16</xdr:col>
      <xdr:colOff>322280</xdr:colOff>
      <xdr:row>14</xdr:row>
      <xdr:rowOff>106458</xdr:rowOff>
    </xdr:to>
    <xdr:sp macro="" textlink="">
      <xdr:nvSpPr>
        <xdr:cNvPr id="25" name="Rectangle: Rounded Corners 24">
          <a:extLst>
            <a:ext uri="{FF2B5EF4-FFF2-40B4-BE49-F238E27FC236}">
              <a16:creationId xmlns:a16="http://schemas.microsoft.com/office/drawing/2014/main" id="{8B4C3B53-4EDD-4191-917A-A8E6426E951B}"/>
            </a:ext>
          </a:extLst>
        </xdr:cNvPr>
        <xdr:cNvSpPr/>
      </xdr:nvSpPr>
      <xdr:spPr>
        <a:xfrm>
          <a:off x="6848587" y="1759568"/>
          <a:ext cx="3227293" cy="907210"/>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591222</xdr:colOff>
      <xdr:row>9</xdr:row>
      <xdr:rowOff>113648</xdr:rowOff>
    </xdr:from>
    <xdr:to>
      <xdr:col>22</xdr:col>
      <xdr:colOff>160915</xdr:colOff>
      <xdr:row>14</xdr:row>
      <xdr:rowOff>106458</xdr:rowOff>
    </xdr:to>
    <xdr:sp macro="" textlink="">
      <xdr:nvSpPr>
        <xdr:cNvPr id="26" name="Rectangle: Rounded Corners 25">
          <a:extLst>
            <a:ext uri="{FF2B5EF4-FFF2-40B4-BE49-F238E27FC236}">
              <a16:creationId xmlns:a16="http://schemas.microsoft.com/office/drawing/2014/main" id="{44DF4978-6591-4297-9BA4-B99B0C1B2BCF}"/>
            </a:ext>
          </a:extLst>
        </xdr:cNvPr>
        <xdr:cNvSpPr/>
      </xdr:nvSpPr>
      <xdr:spPr>
        <a:xfrm>
          <a:off x="10392634" y="2130707"/>
          <a:ext cx="3245222" cy="1113398"/>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534149</xdr:colOff>
      <xdr:row>9</xdr:row>
      <xdr:rowOff>41708</xdr:rowOff>
    </xdr:from>
    <xdr:to>
      <xdr:col>5</xdr:col>
      <xdr:colOff>175560</xdr:colOff>
      <xdr:row>29</xdr:row>
      <xdr:rowOff>140677</xdr:rowOff>
    </xdr:to>
    <xdr:sp macro="" textlink="">
      <xdr:nvSpPr>
        <xdr:cNvPr id="27" name="Rectangle: Rounded Corners 26">
          <a:extLst>
            <a:ext uri="{FF2B5EF4-FFF2-40B4-BE49-F238E27FC236}">
              <a16:creationId xmlns:a16="http://schemas.microsoft.com/office/drawing/2014/main" id="{9F0A5A62-A8BA-4256-BB57-05DF5EB83171}"/>
            </a:ext>
          </a:extLst>
        </xdr:cNvPr>
        <xdr:cNvSpPr/>
      </xdr:nvSpPr>
      <xdr:spPr>
        <a:xfrm>
          <a:off x="1143749" y="1729831"/>
          <a:ext cx="2079811" cy="3850354"/>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564327</xdr:colOff>
      <xdr:row>30</xdr:row>
      <xdr:rowOff>58614</xdr:rowOff>
    </xdr:from>
    <xdr:to>
      <xdr:col>5</xdr:col>
      <xdr:colOff>205738</xdr:colOff>
      <xdr:row>40</xdr:row>
      <xdr:rowOff>7619</xdr:rowOff>
    </xdr:to>
    <xdr:sp macro="" textlink="">
      <xdr:nvSpPr>
        <xdr:cNvPr id="28" name="Rectangle: Rounded Corners 27">
          <a:extLst>
            <a:ext uri="{FF2B5EF4-FFF2-40B4-BE49-F238E27FC236}">
              <a16:creationId xmlns:a16="http://schemas.microsoft.com/office/drawing/2014/main" id="{D818C79D-61C2-47B0-963E-51C94941621D}"/>
            </a:ext>
          </a:extLst>
        </xdr:cNvPr>
        <xdr:cNvSpPr/>
      </xdr:nvSpPr>
      <xdr:spPr>
        <a:xfrm>
          <a:off x="1173927" y="5685691"/>
          <a:ext cx="2079811" cy="1824697"/>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411924</xdr:colOff>
      <xdr:row>15</xdr:row>
      <xdr:rowOff>95963</xdr:rowOff>
    </xdr:from>
    <xdr:to>
      <xdr:col>13</xdr:col>
      <xdr:colOff>304350</xdr:colOff>
      <xdr:row>28</xdr:row>
      <xdr:rowOff>223</xdr:rowOff>
    </xdr:to>
    <xdr:sp macro="" textlink="">
      <xdr:nvSpPr>
        <xdr:cNvPr id="29" name="Rectangle: Rounded Corners 28">
          <a:extLst>
            <a:ext uri="{FF2B5EF4-FFF2-40B4-BE49-F238E27FC236}">
              <a16:creationId xmlns:a16="http://schemas.microsoft.com/office/drawing/2014/main" id="{6D4D3FF9-9B74-4544-A985-0073F55C9CB3}"/>
            </a:ext>
          </a:extLst>
        </xdr:cNvPr>
        <xdr:cNvSpPr/>
      </xdr:nvSpPr>
      <xdr:spPr>
        <a:xfrm>
          <a:off x="3459924" y="2839163"/>
          <a:ext cx="4769226" cy="2281700"/>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475369</xdr:colOff>
      <xdr:row>28</xdr:row>
      <xdr:rowOff>185291</xdr:rowOff>
    </xdr:from>
    <xdr:to>
      <xdr:col>17</xdr:col>
      <xdr:colOff>45066</xdr:colOff>
      <xdr:row>40</xdr:row>
      <xdr:rowOff>148001</xdr:rowOff>
    </xdr:to>
    <xdr:sp macro="" textlink="">
      <xdr:nvSpPr>
        <xdr:cNvPr id="30" name="Rectangle: Rounded Corners 29">
          <a:extLst>
            <a:ext uri="{FF2B5EF4-FFF2-40B4-BE49-F238E27FC236}">
              <a16:creationId xmlns:a16="http://schemas.microsoft.com/office/drawing/2014/main" id="{908C23C4-0B54-40FB-AEA4-F299C63D3777}"/>
            </a:ext>
          </a:extLst>
        </xdr:cNvPr>
        <xdr:cNvSpPr/>
      </xdr:nvSpPr>
      <xdr:spPr>
        <a:xfrm>
          <a:off x="3523369" y="5437229"/>
          <a:ext cx="6884897" cy="2213541"/>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568473</xdr:colOff>
      <xdr:row>16</xdr:row>
      <xdr:rowOff>25368</xdr:rowOff>
    </xdr:from>
    <xdr:to>
      <xdr:col>23</xdr:col>
      <xdr:colOff>35169</xdr:colOff>
      <xdr:row>27</xdr:row>
      <xdr:rowOff>170958</xdr:rowOff>
    </xdr:to>
    <xdr:sp macro="" textlink="">
      <xdr:nvSpPr>
        <xdr:cNvPr id="31" name="Rectangle: Rounded Corners 30">
          <a:extLst>
            <a:ext uri="{FF2B5EF4-FFF2-40B4-BE49-F238E27FC236}">
              <a16:creationId xmlns:a16="http://schemas.microsoft.com/office/drawing/2014/main" id="{030B9D56-027F-45E5-8FC2-4587FDF31B2D}"/>
            </a:ext>
          </a:extLst>
        </xdr:cNvPr>
        <xdr:cNvSpPr/>
      </xdr:nvSpPr>
      <xdr:spPr>
        <a:xfrm>
          <a:off x="8493273" y="3026476"/>
          <a:ext cx="5562696" cy="2208851"/>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313316</xdr:colOff>
      <xdr:row>28</xdr:row>
      <xdr:rowOff>173568</xdr:rowOff>
    </xdr:from>
    <xdr:to>
      <xdr:col>22</xdr:col>
      <xdr:colOff>600187</xdr:colOff>
      <xdr:row>40</xdr:row>
      <xdr:rowOff>136278</xdr:rowOff>
    </xdr:to>
    <xdr:sp macro="" textlink="">
      <xdr:nvSpPr>
        <xdr:cNvPr id="33" name="Rectangle: Rounded Corners 32">
          <a:extLst>
            <a:ext uri="{FF2B5EF4-FFF2-40B4-BE49-F238E27FC236}">
              <a16:creationId xmlns:a16="http://schemas.microsoft.com/office/drawing/2014/main" id="{53656706-0F69-4FEC-98DF-4D27BF24686D}"/>
            </a:ext>
          </a:extLst>
        </xdr:cNvPr>
        <xdr:cNvSpPr/>
      </xdr:nvSpPr>
      <xdr:spPr>
        <a:xfrm>
          <a:off x="10676516" y="5294208"/>
          <a:ext cx="3334871" cy="2157270"/>
        </a:xfrm>
        <a:prstGeom prst="roundRect">
          <a:avLst/>
        </a:prstGeom>
        <a:solidFill>
          <a:schemeClr val="accent5">
            <a:lumMod val="75000"/>
          </a:schemeClr>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256514</xdr:colOff>
      <xdr:row>4</xdr:row>
      <xdr:rowOff>67901</xdr:rowOff>
    </xdr:from>
    <xdr:to>
      <xdr:col>20</xdr:col>
      <xdr:colOff>410308</xdr:colOff>
      <xdr:row>7</xdr:row>
      <xdr:rowOff>60356</xdr:rowOff>
    </xdr:to>
    <xdr:sp macro="" textlink="">
      <xdr:nvSpPr>
        <xdr:cNvPr id="34" name="TextBox 33">
          <a:extLst>
            <a:ext uri="{FF2B5EF4-FFF2-40B4-BE49-F238E27FC236}">
              <a16:creationId xmlns:a16="http://schemas.microsoft.com/office/drawing/2014/main" id="{2DDCDCCA-77C1-47A8-8521-A342333B7FB7}"/>
            </a:ext>
          </a:extLst>
        </xdr:cNvPr>
        <xdr:cNvSpPr txBox="1"/>
      </xdr:nvSpPr>
      <xdr:spPr>
        <a:xfrm>
          <a:off x="1475714" y="818178"/>
          <a:ext cx="11126594" cy="555163"/>
        </a:xfrm>
        <a:prstGeom prst="rect">
          <a:avLst/>
        </a:prstGeom>
        <a:solidFill>
          <a:schemeClr val="accent5">
            <a:lumMod val="75000"/>
          </a:schemeClr>
        </a:solidFill>
        <a:ln w="9525" cmpd="sng">
          <a:solidFill>
            <a:srgbClr val="0070C0"/>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Algerian" panose="04020705040A02060702" pitchFamily="82" charset="0"/>
            </a:rPr>
            <a:t>PERSONAL</a:t>
          </a:r>
          <a:r>
            <a:rPr lang="en-IN" sz="4000" baseline="0">
              <a:latin typeface="Algerian" panose="04020705040A02060702" pitchFamily="82" charset="0"/>
            </a:rPr>
            <a:t> EXPENSE TRACKER </a:t>
          </a:r>
          <a:endParaRPr lang="en-IN" sz="4000">
            <a:latin typeface="Algerian" panose="04020705040A02060702" pitchFamily="82" charset="0"/>
          </a:endParaRPr>
        </a:p>
      </xdr:txBody>
    </xdr:sp>
    <xdr:clientData/>
  </xdr:twoCellAnchor>
  <xdr:twoCellAnchor>
    <xdr:from>
      <xdr:col>5</xdr:col>
      <xdr:colOff>536813</xdr:colOff>
      <xdr:row>10</xdr:row>
      <xdr:rowOff>39410</xdr:rowOff>
    </xdr:from>
    <xdr:to>
      <xdr:col>10</xdr:col>
      <xdr:colOff>211249</xdr:colOff>
      <xdr:row>11</xdr:row>
      <xdr:rowOff>143347</xdr:rowOff>
    </xdr:to>
    <xdr:sp macro="" textlink="">
      <xdr:nvSpPr>
        <xdr:cNvPr id="35" name="TextBox 34">
          <a:extLst>
            <a:ext uri="{FF2B5EF4-FFF2-40B4-BE49-F238E27FC236}">
              <a16:creationId xmlns:a16="http://schemas.microsoft.com/office/drawing/2014/main" id="{FB9C7F81-2191-4ACE-9673-12771AF2E1CC}"/>
            </a:ext>
          </a:extLst>
        </xdr:cNvPr>
        <xdr:cNvSpPr txBox="1"/>
      </xdr:nvSpPr>
      <xdr:spPr>
        <a:xfrm>
          <a:off x="3592358" y="1850103"/>
          <a:ext cx="2729980" cy="28500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lgerian" panose="04020705040A02060702" pitchFamily="82" charset="0"/>
            </a:rPr>
            <a:t>TOTAL EXPENSES</a:t>
          </a:r>
        </a:p>
      </xdr:txBody>
    </xdr:sp>
    <xdr:clientData/>
  </xdr:twoCellAnchor>
  <xdr:twoCellAnchor>
    <xdr:from>
      <xdr:col>6</xdr:col>
      <xdr:colOff>490395</xdr:colOff>
      <xdr:row>12</xdr:row>
      <xdr:rowOff>30178</xdr:rowOff>
    </xdr:from>
    <xdr:to>
      <xdr:col>9</xdr:col>
      <xdr:colOff>384771</xdr:colOff>
      <xdr:row>13</xdr:row>
      <xdr:rowOff>173525</xdr:rowOff>
    </xdr:to>
    <xdr:sp macro="" textlink="$AL$12">
      <xdr:nvSpPr>
        <xdr:cNvPr id="36" name="TextBox 35">
          <a:extLst>
            <a:ext uri="{FF2B5EF4-FFF2-40B4-BE49-F238E27FC236}">
              <a16:creationId xmlns:a16="http://schemas.microsoft.com/office/drawing/2014/main" id="{733E1994-A961-46C9-A92D-9BC9564CA451}"/>
            </a:ext>
          </a:extLst>
        </xdr:cNvPr>
        <xdr:cNvSpPr txBox="1"/>
      </xdr:nvSpPr>
      <xdr:spPr>
        <a:xfrm>
          <a:off x="4157048" y="2203010"/>
          <a:ext cx="1727703" cy="32441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9CEDD-0231-44D9-A206-60C63829DCE6}" type="TxLink">
            <a:rPr lang="en-US" sz="1800" b="1" i="0" u="none" strike="noStrike">
              <a:solidFill>
                <a:srgbClr val="000000"/>
              </a:solidFill>
              <a:latin typeface="+mn-lt"/>
              <a:ea typeface="Calibri"/>
              <a:cs typeface="Calibri"/>
            </a:rPr>
            <a:pPr algn="ctr"/>
            <a:t>67100.06</a:t>
          </a:fld>
          <a:endParaRPr lang="en-IN" sz="1800" b="1">
            <a:latin typeface="+mn-lt"/>
          </a:endParaRPr>
        </a:p>
      </xdr:txBody>
    </xdr:sp>
    <xdr:clientData/>
  </xdr:twoCellAnchor>
  <xdr:twoCellAnchor>
    <xdr:from>
      <xdr:col>11</xdr:col>
      <xdr:colOff>319530</xdr:colOff>
      <xdr:row>10</xdr:row>
      <xdr:rowOff>25829</xdr:rowOff>
    </xdr:from>
    <xdr:to>
      <xdr:col>15</xdr:col>
      <xdr:colOff>605074</xdr:colOff>
      <xdr:row>11</xdr:row>
      <xdr:rowOff>129766</xdr:rowOff>
    </xdr:to>
    <xdr:sp macro="" textlink="">
      <xdr:nvSpPr>
        <xdr:cNvPr id="37" name="TextBox 36">
          <a:extLst>
            <a:ext uri="{FF2B5EF4-FFF2-40B4-BE49-F238E27FC236}">
              <a16:creationId xmlns:a16="http://schemas.microsoft.com/office/drawing/2014/main" id="{EDCB0E6D-5F9E-4D03-B1D9-CA12D60E26E3}"/>
            </a:ext>
          </a:extLst>
        </xdr:cNvPr>
        <xdr:cNvSpPr txBox="1"/>
      </xdr:nvSpPr>
      <xdr:spPr>
        <a:xfrm>
          <a:off x="7041728" y="1836522"/>
          <a:ext cx="2729980" cy="28500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lgerian" panose="04020705040A02060702" pitchFamily="82" charset="0"/>
            </a:rPr>
            <a:t>TOP CATEGORY</a:t>
          </a:r>
        </a:p>
      </xdr:txBody>
    </xdr:sp>
    <xdr:clientData/>
  </xdr:twoCellAnchor>
  <xdr:twoCellAnchor>
    <xdr:from>
      <xdr:col>12</xdr:col>
      <xdr:colOff>271603</xdr:colOff>
      <xdr:row>12</xdr:row>
      <xdr:rowOff>9230</xdr:rowOff>
    </xdr:from>
    <xdr:to>
      <xdr:col>15</xdr:col>
      <xdr:colOff>173523</xdr:colOff>
      <xdr:row>13</xdr:row>
      <xdr:rowOff>113167</xdr:rowOff>
    </xdr:to>
    <xdr:sp macro="" textlink="$AL$15">
      <xdr:nvSpPr>
        <xdr:cNvPr id="38" name="TextBox 37">
          <a:extLst>
            <a:ext uri="{FF2B5EF4-FFF2-40B4-BE49-F238E27FC236}">
              <a16:creationId xmlns:a16="http://schemas.microsoft.com/office/drawing/2014/main" id="{0B06B2A7-D973-4253-8A9B-D3DDA1E37B4D}"/>
            </a:ext>
          </a:extLst>
        </xdr:cNvPr>
        <xdr:cNvSpPr txBox="1"/>
      </xdr:nvSpPr>
      <xdr:spPr>
        <a:xfrm>
          <a:off x="7604910" y="2182062"/>
          <a:ext cx="1735247" cy="28500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91A238-F6F7-4B26-8F2C-BB0FBE6AFC30}" type="TxLink">
            <a:rPr lang="en-US" sz="1800" b="0" i="0" u="none" strike="noStrike">
              <a:solidFill>
                <a:srgbClr val="000000"/>
              </a:solidFill>
              <a:latin typeface="Algerian" panose="04020705040A02060702" pitchFamily="82" charset="0"/>
              <a:ea typeface="Calibri"/>
              <a:cs typeface="Calibri"/>
            </a:rPr>
            <a:pPr algn="ctr"/>
            <a:t>Entertainment</a:t>
          </a:fld>
          <a:endParaRPr lang="en-IN" sz="1800">
            <a:latin typeface="Algerian" panose="04020705040A02060702" pitchFamily="82" charset="0"/>
          </a:endParaRPr>
        </a:p>
      </xdr:txBody>
    </xdr:sp>
    <xdr:clientData/>
  </xdr:twoCellAnchor>
  <xdr:twoCellAnchor>
    <xdr:from>
      <xdr:col>17</xdr:col>
      <xdr:colOff>189852</xdr:colOff>
      <xdr:row>10</xdr:row>
      <xdr:rowOff>54499</xdr:rowOff>
    </xdr:from>
    <xdr:to>
      <xdr:col>21</xdr:col>
      <xdr:colOff>475396</xdr:colOff>
      <xdr:row>11</xdr:row>
      <xdr:rowOff>158436</xdr:rowOff>
    </xdr:to>
    <xdr:sp macro="" textlink="">
      <xdr:nvSpPr>
        <xdr:cNvPr id="39" name="TextBox 38">
          <a:extLst>
            <a:ext uri="{FF2B5EF4-FFF2-40B4-BE49-F238E27FC236}">
              <a16:creationId xmlns:a16="http://schemas.microsoft.com/office/drawing/2014/main" id="{ABAF49A3-A6E9-4398-A7E8-3A302B4435B7}"/>
            </a:ext>
          </a:extLst>
        </xdr:cNvPr>
        <xdr:cNvSpPr txBox="1"/>
      </xdr:nvSpPr>
      <xdr:spPr>
        <a:xfrm>
          <a:off x="10578703" y="1865192"/>
          <a:ext cx="2729980" cy="28500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lgerian" panose="04020705040A02060702" pitchFamily="82" charset="0"/>
            </a:rPr>
            <a:t>SAVINGS</a:t>
          </a:r>
        </a:p>
      </xdr:txBody>
    </xdr:sp>
    <xdr:clientData/>
  </xdr:twoCellAnchor>
  <xdr:twoCellAnchor>
    <xdr:from>
      <xdr:col>17</xdr:col>
      <xdr:colOff>386010</xdr:colOff>
      <xdr:row>12</xdr:row>
      <xdr:rowOff>39409</xdr:rowOff>
    </xdr:from>
    <xdr:to>
      <xdr:col>21</xdr:col>
      <xdr:colOff>490396</xdr:colOff>
      <xdr:row>13</xdr:row>
      <xdr:rowOff>143346</xdr:rowOff>
    </xdr:to>
    <xdr:sp macro="" textlink="$AL$21">
      <xdr:nvSpPr>
        <xdr:cNvPr id="40" name="TextBox 39">
          <a:extLst>
            <a:ext uri="{FF2B5EF4-FFF2-40B4-BE49-F238E27FC236}">
              <a16:creationId xmlns:a16="http://schemas.microsoft.com/office/drawing/2014/main" id="{1323B5EE-C022-43F5-9F2E-F3467370AED1}"/>
            </a:ext>
          </a:extLst>
        </xdr:cNvPr>
        <xdr:cNvSpPr txBox="1"/>
      </xdr:nvSpPr>
      <xdr:spPr>
        <a:xfrm>
          <a:off x="10774861" y="2212241"/>
          <a:ext cx="2548822" cy="285006"/>
        </a:xfrm>
        <a:prstGeom prst="rect">
          <a:avLst/>
        </a:prstGeom>
        <a:solidFill>
          <a:schemeClr val="accent5">
            <a:lumMod val="75000"/>
          </a:schemeClr>
        </a:solidFill>
        <a:ln w="9525" cmpd="sng">
          <a:solidFill>
            <a:schemeClr val="accent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CE0F9E-9773-4AEC-8BA5-FBB4FF175433}" type="TxLink">
            <a:rPr lang="en-US" sz="1800" b="1" i="0" u="none" strike="noStrike">
              <a:solidFill>
                <a:srgbClr val="000000"/>
              </a:solidFill>
              <a:latin typeface="Gill Sans MT"/>
              <a:ea typeface="Calibri"/>
              <a:cs typeface="Calibri"/>
            </a:rPr>
            <a:pPr algn="ctr"/>
            <a:t>220475.38</a:t>
          </a:fld>
          <a:endParaRPr lang="en-IN" sz="1800" b="1">
            <a:latin typeface="+mj-lt"/>
          </a:endParaRPr>
        </a:p>
      </xdr:txBody>
    </xdr:sp>
    <xdr:clientData/>
  </xdr:twoCellAnchor>
  <xdr:twoCellAnchor editAs="oneCell">
    <xdr:from>
      <xdr:col>18</xdr:col>
      <xdr:colOff>59891</xdr:colOff>
      <xdr:row>3</xdr:row>
      <xdr:rowOff>103998</xdr:rowOff>
    </xdr:from>
    <xdr:to>
      <xdr:col>19</xdr:col>
      <xdr:colOff>74982</xdr:colOff>
      <xdr:row>7</xdr:row>
      <xdr:rowOff>106068</xdr:rowOff>
    </xdr:to>
    <xdr:pic>
      <xdr:nvPicPr>
        <xdr:cNvPr id="42" name="Graphic 41" descr="Money">
          <a:extLst>
            <a:ext uri="{FF2B5EF4-FFF2-40B4-BE49-F238E27FC236}">
              <a16:creationId xmlns:a16="http://schemas.microsoft.com/office/drawing/2014/main" id="{B4222E1D-56A4-4358-BCFE-510507EB62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032691" y="666706"/>
          <a:ext cx="624691" cy="750278"/>
        </a:xfrm>
        <a:prstGeom prst="rect">
          <a:avLst/>
        </a:prstGeom>
      </xdr:spPr>
    </xdr:pic>
    <xdr:clientData/>
  </xdr:twoCellAnchor>
  <xdr:twoCellAnchor>
    <xdr:from>
      <xdr:col>6</xdr:col>
      <xdr:colOff>187569</xdr:colOff>
      <xdr:row>16</xdr:row>
      <xdr:rowOff>35170</xdr:rowOff>
    </xdr:from>
    <xdr:to>
      <xdr:col>13</xdr:col>
      <xdr:colOff>11722</xdr:colOff>
      <xdr:row>27</xdr:row>
      <xdr:rowOff>1</xdr:rowOff>
    </xdr:to>
    <xdr:graphicFrame macro="">
      <xdr:nvGraphicFramePr>
        <xdr:cNvPr id="45" name="Chart 44">
          <a:extLst>
            <a:ext uri="{FF2B5EF4-FFF2-40B4-BE49-F238E27FC236}">
              <a16:creationId xmlns:a16="http://schemas.microsoft.com/office/drawing/2014/main" id="{557FC131-DDF8-49F9-9E7D-735EE8BE8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579736</xdr:colOff>
      <xdr:row>29</xdr:row>
      <xdr:rowOff>126187</xdr:rowOff>
    </xdr:from>
    <xdr:to>
      <xdr:col>22</xdr:col>
      <xdr:colOff>283883</xdr:colOff>
      <xdr:row>39</xdr:row>
      <xdr:rowOff>128955</xdr:rowOff>
    </xdr:to>
    <xdr:graphicFrame macro="">
      <xdr:nvGraphicFramePr>
        <xdr:cNvPr id="47" name="Chart 46">
          <a:extLst>
            <a:ext uri="{FF2B5EF4-FFF2-40B4-BE49-F238E27FC236}">
              <a16:creationId xmlns:a16="http://schemas.microsoft.com/office/drawing/2014/main" id="{9859CE8A-BAF6-49FA-8D3E-B8123BC93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111953</xdr:colOff>
      <xdr:row>30</xdr:row>
      <xdr:rowOff>18824</xdr:rowOff>
    </xdr:from>
    <xdr:to>
      <xdr:col>16</xdr:col>
      <xdr:colOff>269630</xdr:colOff>
      <xdr:row>38</xdr:row>
      <xdr:rowOff>141330</xdr:rowOff>
    </xdr:to>
    <xdr:graphicFrame macro="">
      <xdr:nvGraphicFramePr>
        <xdr:cNvPr id="48" name="Chart 47">
          <a:extLst>
            <a:ext uri="{FF2B5EF4-FFF2-40B4-BE49-F238E27FC236}">
              <a16:creationId xmlns:a16="http://schemas.microsoft.com/office/drawing/2014/main" id="{1CFB2FEE-12E9-4983-8268-DAA1AFE90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278145</xdr:colOff>
      <xdr:row>16</xdr:row>
      <xdr:rowOff>136055</xdr:rowOff>
    </xdr:from>
    <xdr:to>
      <xdr:col>22</xdr:col>
      <xdr:colOff>422030</xdr:colOff>
      <xdr:row>26</xdr:row>
      <xdr:rowOff>152401</xdr:rowOff>
    </xdr:to>
    <xdr:graphicFrame macro="">
      <xdr:nvGraphicFramePr>
        <xdr:cNvPr id="49" name="Chart 48">
          <a:extLst>
            <a:ext uri="{FF2B5EF4-FFF2-40B4-BE49-F238E27FC236}">
              <a16:creationId xmlns:a16="http://schemas.microsoft.com/office/drawing/2014/main" id="{AD15063F-5678-4A76-B445-083DF5F3A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83680</xdr:colOff>
      <xdr:row>31</xdr:row>
      <xdr:rowOff>60526</xdr:rowOff>
    </xdr:from>
    <xdr:to>
      <xdr:col>5</xdr:col>
      <xdr:colOff>83680</xdr:colOff>
      <xdr:row>39</xdr:row>
      <xdr:rowOff>89417</xdr:rowOff>
    </xdr:to>
    <mc:AlternateContent xmlns:mc="http://schemas.openxmlformats.org/markup-compatibility/2006" xmlns:a14="http://schemas.microsoft.com/office/drawing/2010/main">
      <mc:Choice Requires="a14">
        <xdr:graphicFrame macro="">
          <xdr:nvGraphicFramePr>
            <xdr:cNvPr id="50" name="Payment Mode 1">
              <a:extLst>
                <a:ext uri="{FF2B5EF4-FFF2-40B4-BE49-F238E27FC236}">
                  <a16:creationId xmlns:a16="http://schemas.microsoft.com/office/drawing/2014/main" id="{A90682A0-C420-4156-B496-90877A62332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306643" y="5601489"/>
              <a:ext cx="1834444" cy="1458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41780</xdr:colOff>
      <xdr:row>10</xdr:row>
      <xdr:rowOff>70338</xdr:rowOff>
    </xdr:from>
    <xdr:to>
      <xdr:col>5</xdr:col>
      <xdr:colOff>41780</xdr:colOff>
      <xdr:row>27</xdr:row>
      <xdr:rowOff>89647</xdr:rowOff>
    </xdr:to>
    <mc:AlternateContent xmlns:mc="http://schemas.openxmlformats.org/markup-compatibility/2006" xmlns:a14="http://schemas.microsoft.com/office/drawing/2010/main">
      <mc:Choice Requires="a14">
        <xdr:graphicFrame macro="">
          <xdr:nvGraphicFramePr>
            <xdr:cNvPr id="51" name="month 1">
              <a:extLst>
                <a:ext uri="{FF2B5EF4-FFF2-40B4-BE49-F238E27FC236}">
                  <a16:creationId xmlns:a16="http://schemas.microsoft.com/office/drawing/2014/main" id="{2F1A77FD-D80A-4B79-9B5E-F1709C4C316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64743" y="1857745"/>
              <a:ext cx="1834444" cy="3057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m Divya" refreshedDate="45759.931859953707" createdVersion="6" refreshedVersion="6" minRefreshableVersion="3" recordCount="150" xr:uid="{080AA802-2A44-4569-9545-96AA31142EC4}">
  <cacheSource type="worksheet">
    <worksheetSource name="Table256"/>
  </cacheSource>
  <cacheFields count="9">
    <cacheField name="Date" numFmtId="164">
      <sharedItems containsSemiMixedTypes="0" containsNonDate="0" containsDate="1" containsString="0" minDate="2025-01-03T00:00:00" maxDate="2025-12-31T00:00:00" count="116">
        <d v="2025-05-07T00:00:00"/>
        <d v="2025-09-02T00:00:00"/>
        <d v="2025-09-11T00:00:00"/>
        <d v="2025-01-16T00:00:00"/>
        <d v="2025-08-04T00:00:00"/>
        <d v="2025-11-14T00:00:00"/>
        <d v="2025-06-01T00:00:00"/>
        <d v="2025-08-18T00:00:00"/>
        <d v="2025-09-23T00:00:00"/>
        <d v="2025-09-30T00:00:00"/>
        <d v="2025-01-21T00:00:00"/>
        <d v="2025-11-16T00:00:00"/>
        <d v="2025-05-11T00:00:00"/>
        <d v="2025-10-28T00:00:00"/>
        <d v="2025-01-22T00:00:00"/>
        <d v="2025-10-25T00:00:00"/>
        <d v="2025-08-16T00:00:00"/>
        <d v="2025-10-21T00:00:00"/>
        <d v="2025-12-03T00:00:00"/>
        <d v="2025-09-12T00:00:00"/>
        <d v="2025-03-20T00:00:00"/>
        <d v="2025-09-07T00:00:00"/>
        <d v="2025-08-28T00:00:00"/>
        <d v="2025-11-19T00:00:00"/>
        <d v="2025-08-22T00:00:00"/>
        <d v="2025-01-08T00:00:00"/>
        <d v="2025-07-27T00:00:00"/>
        <d v="2025-07-25T00:00:00"/>
        <d v="2025-12-25T00:00:00"/>
        <d v="2025-07-09T00:00:00"/>
        <d v="2025-09-05T00:00:00"/>
        <d v="2025-04-04T00:00:00"/>
        <d v="2025-08-06T00:00:00"/>
        <d v="2025-07-28T00:00:00"/>
        <d v="2025-05-21T00:00:00"/>
        <d v="2025-09-17T00:00:00"/>
        <d v="2025-09-22T00:00:00"/>
        <d v="2025-05-05T00:00:00"/>
        <d v="2025-08-10T00:00:00"/>
        <d v="2025-04-16T00:00:00"/>
        <d v="2025-04-03T00:00:00"/>
        <d v="2025-06-11T00:00:00"/>
        <d v="2025-04-09T00:00:00"/>
        <d v="2025-11-26T00:00:00"/>
        <d v="2025-06-04T00:00:00"/>
        <d v="2025-01-09T00:00:00"/>
        <d v="2025-04-22T00:00:00"/>
        <d v="2025-02-20T00:00:00"/>
        <d v="2025-12-22T00:00:00"/>
        <d v="2025-02-12T00:00:00"/>
        <d v="2025-07-19T00:00:00"/>
        <d v="2025-10-02T00:00:00"/>
        <d v="2025-06-16T00:00:00"/>
        <d v="2025-05-03T00:00:00"/>
        <d v="2025-06-15T00:00:00"/>
        <d v="2025-04-08T00:00:00"/>
        <d v="2025-09-24T00:00:00"/>
        <d v="2025-08-17T00:00:00"/>
        <d v="2025-03-14T00:00:00"/>
        <d v="2025-01-03T00:00:00"/>
        <d v="2025-05-14T00:00:00"/>
        <d v="2025-09-10T00:00:00"/>
        <d v="2025-08-19T00:00:00"/>
        <d v="2025-10-29T00:00:00"/>
        <d v="2025-02-26T00:00:00"/>
        <d v="2025-01-23T00:00:00"/>
        <d v="2025-03-04T00:00:00"/>
        <d v="2025-06-29T00:00:00"/>
        <d v="2025-08-31T00:00:00"/>
        <d v="2025-01-19T00:00:00"/>
        <d v="2025-03-28T00:00:00"/>
        <d v="2025-01-10T00:00:00"/>
        <d v="2025-10-15T00:00:00"/>
        <d v="2025-07-04T00:00:00"/>
        <d v="2025-07-24T00:00:00"/>
        <d v="2025-05-06T00:00:00"/>
        <d v="2025-10-03T00:00:00"/>
        <d v="2025-07-18T00:00:00"/>
        <d v="2025-10-01T00:00:00"/>
        <d v="2025-01-27T00:00:00"/>
        <d v="2025-10-05T00:00:00"/>
        <d v="2025-03-09T00:00:00"/>
        <d v="2025-11-06T00:00:00"/>
        <d v="2025-11-24T00:00:00"/>
        <d v="2025-02-07T00:00:00"/>
        <d v="2025-05-20T00:00:00"/>
        <d v="2025-02-04T00:00:00"/>
        <d v="2025-10-06T00:00:00"/>
        <d v="2025-07-29T00:00:00"/>
        <d v="2025-03-30T00:00:00"/>
        <d v="2025-07-11T00:00:00"/>
        <d v="2025-10-24T00:00:00"/>
        <d v="2025-10-08T00:00:00"/>
        <d v="2025-11-23T00:00:00"/>
        <d v="2025-12-05T00:00:00"/>
        <d v="2025-03-02T00:00:00"/>
        <d v="2025-07-14T00:00:00"/>
        <d v="2025-11-13T00:00:00"/>
        <d v="2025-06-26T00:00:00"/>
        <d v="2025-11-15T00:00:00"/>
        <d v="2025-03-10T00:00:00"/>
        <d v="2025-04-24T00:00:00"/>
        <d v="2025-01-28T00:00:00"/>
        <d v="2025-04-21T00:00:00"/>
        <d v="2025-07-31T00:00:00"/>
        <d v="2025-06-19T00:00:00"/>
        <d v="2025-05-23T00:00:00"/>
        <d v="2025-01-25T00:00:00"/>
        <d v="2025-02-13T00:00:00"/>
        <d v="2025-04-27T00:00:00"/>
        <d v="2025-12-30T00:00:00"/>
        <d v="2025-02-03T00:00:00"/>
        <d v="2025-11-21T00:00:00"/>
        <d v="2025-01-26T00:00:00"/>
        <d v="2025-12-08T00:00:00"/>
        <d v="2025-12-04T00:00:00"/>
      </sharedItems>
      <fieldGroup par="8" base="0">
        <rangePr groupBy="days" startDate="2025-01-03T00:00:00" endDate="2025-12-31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 numFmtId="0">
      <sharedItems count="12">
        <s v="May"/>
        <s v="September"/>
        <s v="January"/>
        <s v="August"/>
        <s v="November"/>
        <s v="June"/>
        <s v="October"/>
        <s v="December"/>
        <s v="March"/>
        <s v="July"/>
        <s v="April"/>
        <s v="February"/>
      </sharedItems>
    </cacheField>
    <cacheField name="Category" numFmtId="0">
      <sharedItems count="9">
        <s v="Electricity Bill"/>
        <s v="Mobile Bill"/>
        <s v="Health"/>
        <s v="Entertainment"/>
        <s v="Food"/>
        <s v="Transport"/>
        <s v="Shopping"/>
        <s v="Rent"/>
        <s v="Groceries"/>
      </sharedItems>
    </cacheField>
    <cacheField name="Amount" numFmtId="0">
      <sharedItems containsSemiMixedTypes="0" containsString="0" containsNumber="1" minValue="82.32" maxValue="8991.7199999999993"/>
    </cacheField>
    <cacheField name="Payment Mode" numFmtId="0">
      <sharedItems count="4">
        <s v="Cash"/>
        <s v="Bank Transfer"/>
        <s v="Card"/>
        <s v="UPI"/>
      </sharedItems>
    </cacheField>
    <cacheField name="SAVINGS" numFmtId="0">
      <sharedItems containsSemiMixedTypes="0" containsString="0" containsNumber="1" minValue="6610.67" maxValue="39003.53"/>
    </cacheField>
    <cacheField name="INCOME" numFmtId="0">
      <sharedItems containsSemiMixedTypes="0" containsString="0" containsNumber="1" containsInteger="1" minValue="15000" maxValue="40000" count="8">
        <n v="20000"/>
        <n v="40000"/>
        <n v="30000"/>
        <n v="32000"/>
        <n v="22000"/>
        <n v="31000"/>
        <n v="35000"/>
        <n v="15000"/>
      </sharedItems>
    </cacheField>
    <cacheField name="Description" numFmtId="0">
      <sharedItems/>
    </cacheField>
    <cacheField name="Months" numFmtId="0" databaseField="0">
      <fieldGroup base="0">
        <rangePr groupBy="months" startDate="2025-01-03T00:00:00" endDate="2025-12-31T00:00:00"/>
        <groupItems count="14">
          <s v="&lt;03-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5895728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m Divya" refreshedDate="45759.932384375003" createdVersion="6" refreshedVersion="6" minRefreshableVersion="3" recordCount="13" xr:uid="{25BCF3E5-CD99-4529-85C3-1BEB328DB777}">
  <cacheSource type="worksheet">
    <worksheetSource ref="AK8:AL21" sheet="CHARTS"/>
  </cacheSource>
  <cacheFields count="2">
    <cacheField name="Row Labels" numFmtId="0">
      <sharedItems count="13">
        <s v="Jan"/>
        <s v="Feb"/>
        <s v="Mar"/>
        <s v="Apr"/>
        <s v="May"/>
        <s v="Jun"/>
        <s v="Jul"/>
        <s v="Aug"/>
        <s v="Sep"/>
        <s v="Oct"/>
        <s v="Nov"/>
        <s v="Dec"/>
        <s v="Grand Total"/>
      </sharedItems>
    </cacheField>
    <cacheField name="Sum of SAVINGS" numFmtId="0">
      <sharedItems containsSemiMixedTypes="0" containsString="0" containsNumber="1" minValue="134780.75" maxValue="2751974.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n v="5788.95"/>
    <x v="0"/>
    <n v="14211.05"/>
    <x v="0"/>
    <s v="Electricity Bill expense"/>
  </r>
  <r>
    <x v="1"/>
    <x v="1"/>
    <x v="1"/>
    <n v="996.47"/>
    <x v="1"/>
    <n v="39003.53"/>
    <x v="1"/>
    <s v="Mobile Bill expense"/>
  </r>
  <r>
    <x v="2"/>
    <x v="1"/>
    <x v="2"/>
    <n v="7868.65"/>
    <x v="2"/>
    <n v="12131.35"/>
    <x v="0"/>
    <s v="Health expense"/>
  </r>
  <r>
    <x v="3"/>
    <x v="2"/>
    <x v="1"/>
    <n v="6007.01"/>
    <x v="3"/>
    <n v="13992.99"/>
    <x v="0"/>
    <s v="Mobile Bill expense"/>
  </r>
  <r>
    <x v="4"/>
    <x v="3"/>
    <x v="2"/>
    <n v="2457.73"/>
    <x v="2"/>
    <n v="37542.269999999997"/>
    <x v="1"/>
    <s v="Health expense"/>
  </r>
  <r>
    <x v="5"/>
    <x v="4"/>
    <x v="3"/>
    <n v="1489.29"/>
    <x v="2"/>
    <n v="28510.71"/>
    <x v="2"/>
    <s v="Entertainment expense"/>
  </r>
  <r>
    <x v="6"/>
    <x v="5"/>
    <x v="1"/>
    <n v="3373.47"/>
    <x v="1"/>
    <n v="26626.53"/>
    <x v="2"/>
    <s v="Mobile Bill expense"/>
  </r>
  <r>
    <x v="7"/>
    <x v="3"/>
    <x v="4"/>
    <n v="3181.53"/>
    <x v="3"/>
    <n v="16818.47"/>
    <x v="0"/>
    <s v="Food expense"/>
  </r>
  <r>
    <x v="8"/>
    <x v="1"/>
    <x v="5"/>
    <n v="556.9"/>
    <x v="3"/>
    <n v="19443.099999999999"/>
    <x v="0"/>
    <s v="Transport expense"/>
  </r>
  <r>
    <x v="9"/>
    <x v="1"/>
    <x v="4"/>
    <n v="8070.28"/>
    <x v="0"/>
    <n v="11929.720000000001"/>
    <x v="0"/>
    <s v="Food expense"/>
  </r>
  <r>
    <x v="10"/>
    <x v="2"/>
    <x v="2"/>
    <n v="6721.51"/>
    <x v="3"/>
    <n v="13278.49"/>
    <x v="0"/>
    <s v="Health expense"/>
  </r>
  <r>
    <x v="11"/>
    <x v="4"/>
    <x v="6"/>
    <n v="7842.65"/>
    <x v="3"/>
    <n v="12157.35"/>
    <x v="0"/>
    <s v="Shopping expense"/>
  </r>
  <r>
    <x v="12"/>
    <x v="0"/>
    <x v="6"/>
    <n v="8213.7900000000009"/>
    <x v="3"/>
    <n v="11786.21"/>
    <x v="0"/>
    <s v="Shopping expense"/>
  </r>
  <r>
    <x v="13"/>
    <x v="6"/>
    <x v="3"/>
    <n v="1317.94"/>
    <x v="3"/>
    <n v="18682.060000000001"/>
    <x v="0"/>
    <s v="Entertainment expense"/>
  </r>
  <r>
    <x v="14"/>
    <x v="2"/>
    <x v="4"/>
    <n v="1351.12"/>
    <x v="1"/>
    <n v="18648.88"/>
    <x v="0"/>
    <s v="Food expense"/>
  </r>
  <r>
    <x v="15"/>
    <x v="6"/>
    <x v="7"/>
    <n v="6577.23"/>
    <x v="1"/>
    <n v="13422.77"/>
    <x v="0"/>
    <s v="Rent expense"/>
  </r>
  <r>
    <x v="16"/>
    <x v="3"/>
    <x v="5"/>
    <n v="8031.81"/>
    <x v="2"/>
    <n v="11968.189999999999"/>
    <x v="0"/>
    <s v="Transport expense"/>
  </r>
  <r>
    <x v="17"/>
    <x v="6"/>
    <x v="0"/>
    <n v="6885.97"/>
    <x v="3"/>
    <n v="13114.029999999999"/>
    <x v="0"/>
    <s v="Electricity Bill expense"/>
  </r>
  <r>
    <x v="18"/>
    <x v="7"/>
    <x v="7"/>
    <n v="6204.01"/>
    <x v="1"/>
    <n v="23795.989999999998"/>
    <x v="2"/>
    <s v="Rent expense"/>
  </r>
  <r>
    <x v="19"/>
    <x v="1"/>
    <x v="6"/>
    <n v="3338.18"/>
    <x v="1"/>
    <n v="26661.82"/>
    <x v="2"/>
    <s v="Shopping expense"/>
  </r>
  <r>
    <x v="20"/>
    <x v="8"/>
    <x v="4"/>
    <n v="3937.13"/>
    <x v="0"/>
    <n v="26062.87"/>
    <x v="2"/>
    <s v="Food expense"/>
  </r>
  <r>
    <x v="21"/>
    <x v="1"/>
    <x v="0"/>
    <n v="7320.5"/>
    <x v="1"/>
    <n v="22679.5"/>
    <x v="2"/>
    <s v="Electricity Bill expense"/>
  </r>
  <r>
    <x v="22"/>
    <x v="3"/>
    <x v="1"/>
    <n v="4443.0600000000004"/>
    <x v="1"/>
    <n v="25556.94"/>
    <x v="2"/>
    <s v="Mobile Bill expense"/>
  </r>
  <r>
    <x v="23"/>
    <x v="4"/>
    <x v="6"/>
    <n v="3940.86"/>
    <x v="0"/>
    <n v="26059.14"/>
    <x v="2"/>
    <s v="Shopping expense"/>
  </r>
  <r>
    <x v="24"/>
    <x v="3"/>
    <x v="6"/>
    <n v="8501.09"/>
    <x v="0"/>
    <n v="11498.91"/>
    <x v="0"/>
    <s v="Shopping expense"/>
  </r>
  <r>
    <x v="25"/>
    <x v="2"/>
    <x v="7"/>
    <n v="4525.54"/>
    <x v="0"/>
    <n v="15474.46"/>
    <x v="0"/>
    <s v="Rent expense"/>
  </r>
  <r>
    <x v="26"/>
    <x v="9"/>
    <x v="5"/>
    <n v="7256.73"/>
    <x v="1"/>
    <n v="12743.27"/>
    <x v="0"/>
    <s v="Transport expense"/>
  </r>
  <r>
    <x v="27"/>
    <x v="9"/>
    <x v="2"/>
    <n v="284.86"/>
    <x v="2"/>
    <n v="19715.14"/>
    <x v="0"/>
    <s v="Health expense"/>
  </r>
  <r>
    <x v="28"/>
    <x v="7"/>
    <x v="4"/>
    <n v="2851.87"/>
    <x v="3"/>
    <n v="17148.13"/>
    <x v="0"/>
    <s v="Food expense"/>
  </r>
  <r>
    <x v="29"/>
    <x v="9"/>
    <x v="0"/>
    <n v="7590.27"/>
    <x v="0"/>
    <n v="12409.73"/>
    <x v="0"/>
    <s v="Electricity Bill expense"/>
  </r>
  <r>
    <x v="30"/>
    <x v="1"/>
    <x v="5"/>
    <n v="3973.39"/>
    <x v="2"/>
    <n v="28026.61"/>
    <x v="3"/>
    <s v="Transport expense"/>
  </r>
  <r>
    <x v="31"/>
    <x v="10"/>
    <x v="5"/>
    <n v="1374.64"/>
    <x v="1"/>
    <n v="30625.360000000001"/>
    <x v="3"/>
    <s v="Transport expense"/>
  </r>
  <r>
    <x v="29"/>
    <x v="9"/>
    <x v="2"/>
    <n v="7826.26"/>
    <x v="1"/>
    <n v="24173.739999999998"/>
    <x v="3"/>
    <s v="Health expense"/>
  </r>
  <r>
    <x v="32"/>
    <x v="3"/>
    <x v="6"/>
    <n v="3254.61"/>
    <x v="1"/>
    <n v="28745.39"/>
    <x v="3"/>
    <s v="Shopping expense"/>
  </r>
  <r>
    <x v="33"/>
    <x v="9"/>
    <x v="7"/>
    <n v="4813.76"/>
    <x v="3"/>
    <n v="27186.239999999998"/>
    <x v="3"/>
    <s v="Rent expense"/>
  </r>
  <r>
    <x v="34"/>
    <x v="0"/>
    <x v="2"/>
    <n v="1038.72"/>
    <x v="2"/>
    <n v="30961.279999999999"/>
    <x v="3"/>
    <s v="Health expense"/>
  </r>
  <r>
    <x v="35"/>
    <x v="1"/>
    <x v="7"/>
    <n v="4295.6000000000004"/>
    <x v="1"/>
    <n v="15704.4"/>
    <x v="0"/>
    <s v="Rent expense"/>
  </r>
  <r>
    <x v="36"/>
    <x v="1"/>
    <x v="7"/>
    <n v="1922.13"/>
    <x v="1"/>
    <n v="18077.87"/>
    <x v="0"/>
    <s v="Rent expense"/>
  </r>
  <r>
    <x v="37"/>
    <x v="0"/>
    <x v="5"/>
    <n v="4048.55"/>
    <x v="2"/>
    <n v="15951.45"/>
    <x v="0"/>
    <s v="Transport expense"/>
  </r>
  <r>
    <x v="38"/>
    <x v="3"/>
    <x v="7"/>
    <n v="2306.52"/>
    <x v="3"/>
    <n v="17693.48"/>
    <x v="0"/>
    <s v="Rent expense"/>
  </r>
  <r>
    <x v="39"/>
    <x v="10"/>
    <x v="5"/>
    <n v="3819.82"/>
    <x v="1"/>
    <n v="16180.18"/>
    <x v="0"/>
    <s v="Transport expense"/>
  </r>
  <r>
    <x v="40"/>
    <x v="10"/>
    <x v="4"/>
    <n v="2092.27"/>
    <x v="1"/>
    <n v="19907.73"/>
    <x v="4"/>
    <s v="Food expense"/>
  </r>
  <r>
    <x v="41"/>
    <x v="5"/>
    <x v="2"/>
    <n v="3014.9"/>
    <x v="2"/>
    <n v="18985.099999999999"/>
    <x v="4"/>
    <s v="Health expense"/>
  </r>
  <r>
    <x v="42"/>
    <x v="10"/>
    <x v="4"/>
    <n v="6247.56"/>
    <x v="0"/>
    <n v="15752.439999999999"/>
    <x v="4"/>
    <s v="Food expense"/>
  </r>
  <r>
    <x v="18"/>
    <x v="7"/>
    <x v="1"/>
    <n v="6905.27"/>
    <x v="2"/>
    <n v="15094.73"/>
    <x v="4"/>
    <s v="Mobile Bill expense"/>
  </r>
  <r>
    <x v="43"/>
    <x v="4"/>
    <x v="1"/>
    <n v="2542.84"/>
    <x v="2"/>
    <n v="19457.16"/>
    <x v="4"/>
    <s v="Mobile Bill expense"/>
  </r>
  <r>
    <x v="44"/>
    <x v="5"/>
    <x v="5"/>
    <n v="4551.25"/>
    <x v="2"/>
    <n v="17448.75"/>
    <x v="4"/>
    <s v="Transport expense"/>
  </r>
  <r>
    <x v="45"/>
    <x v="2"/>
    <x v="2"/>
    <n v="4328.32"/>
    <x v="1"/>
    <n v="17671.68"/>
    <x v="4"/>
    <s v="Health expense"/>
  </r>
  <r>
    <x v="46"/>
    <x v="10"/>
    <x v="4"/>
    <n v="7039.64"/>
    <x v="1"/>
    <n v="12960.36"/>
    <x v="0"/>
    <s v="Food expense"/>
  </r>
  <r>
    <x v="47"/>
    <x v="11"/>
    <x v="1"/>
    <n v="6286.65"/>
    <x v="0"/>
    <n v="13713.35"/>
    <x v="0"/>
    <s v="Mobile Bill expense"/>
  </r>
  <r>
    <x v="48"/>
    <x v="7"/>
    <x v="7"/>
    <n v="2874.32"/>
    <x v="3"/>
    <n v="17125.68"/>
    <x v="0"/>
    <s v="Rent expense"/>
  </r>
  <r>
    <x v="49"/>
    <x v="11"/>
    <x v="8"/>
    <n v="6650.72"/>
    <x v="3"/>
    <n v="13349.279999999999"/>
    <x v="0"/>
    <s v="Groceries expense"/>
  </r>
  <r>
    <x v="8"/>
    <x v="1"/>
    <x v="4"/>
    <n v="3727.04"/>
    <x v="3"/>
    <n v="16272.96"/>
    <x v="0"/>
    <s v="Food expense"/>
  </r>
  <r>
    <x v="50"/>
    <x v="9"/>
    <x v="1"/>
    <n v="3377.26"/>
    <x v="1"/>
    <n v="16622.739999999998"/>
    <x v="0"/>
    <s v="Mobile Bill expense"/>
  </r>
  <r>
    <x v="51"/>
    <x v="6"/>
    <x v="6"/>
    <n v="4326.55"/>
    <x v="2"/>
    <n v="15673.45"/>
    <x v="0"/>
    <s v="Shopping expense"/>
  </r>
  <r>
    <x v="52"/>
    <x v="5"/>
    <x v="6"/>
    <n v="3217.43"/>
    <x v="3"/>
    <n v="16782.57"/>
    <x v="0"/>
    <s v="Shopping expense"/>
  </r>
  <r>
    <x v="53"/>
    <x v="0"/>
    <x v="1"/>
    <n v="8818.66"/>
    <x v="3"/>
    <n v="11181.34"/>
    <x v="0"/>
    <s v="Mobile Bill expense"/>
  </r>
  <r>
    <x v="54"/>
    <x v="5"/>
    <x v="6"/>
    <n v="7997.92"/>
    <x v="3"/>
    <n v="23002.080000000002"/>
    <x v="5"/>
    <s v="Shopping expense"/>
  </r>
  <r>
    <x v="54"/>
    <x v="5"/>
    <x v="4"/>
    <n v="6289.69"/>
    <x v="2"/>
    <n v="24710.31"/>
    <x v="5"/>
    <s v="Food expense"/>
  </r>
  <r>
    <x v="55"/>
    <x v="10"/>
    <x v="2"/>
    <n v="754.72"/>
    <x v="2"/>
    <n v="30245.279999999999"/>
    <x v="5"/>
    <s v="Health expense"/>
  </r>
  <r>
    <x v="56"/>
    <x v="1"/>
    <x v="4"/>
    <n v="8137.09"/>
    <x v="1"/>
    <n v="22862.91"/>
    <x v="5"/>
    <s v="Food expense"/>
  </r>
  <r>
    <x v="57"/>
    <x v="3"/>
    <x v="0"/>
    <n v="6409.47"/>
    <x v="3"/>
    <n v="24590.53"/>
    <x v="5"/>
    <s v="Electricity Bill expense"/>
  </r>
  <r>
    <x v="58"/>
    <x v="8"/>
    <x v="5"/>
    <n v="1514.86"/>
    <x v="3"/>
    <n v="29485.14"/>
    <x v="5"/>
    <s v="Transport expense"/>
  </r>
  <r>
    <x v="59"/>
    <x v="2"/>
    <x v="1"/>
    <n v="3298.97"/>
    <x v="1"/>
    <n v="27701.03"/>
    <x v="5"/>
    <s v="Mobile Bill expense"/>
  </r>
  <r>
    <x v="9"/>
    <x v="1"/>
    <x v="6"/>
    <n v="3763.54"/>
    <x v="2"/>
    <n v="27236.46"/>
    <x v="5"/>
    <s v="Shopping expense"/>
  </r>
  <r>
    <x v="60"/>
    <x v="0"/>
    <x v="3"/>
    <n v="7267.47"/>
    <x v="3"/>
    <n v="12732.529999999999"/>
    <x v="0"/>
    <s v="Entertainment expense"/>
  </r>
  <r>
    <x v="4"/>
    <x v="3"/>
    <x v="3"/>
    <n v="1492.97"/>
    <x v="1"/>
    <n v="18507.03"/>
    <x v="0"/>
    <s v="Entertainment expense"/>
  </r>
  <r>
    <x v="61"/>
    <x v="1"/>
    <x v="2"/>
    <n v="4218.59"/>
    <x v="2"/>
    <n v="15781.41"/>
    <x v="0"/>
    <s v="Health expense"/>
  </r>
  <r>
    <x v="62"/>
    <x v="3"/>
    <x v="7"/>
    <n v="1832.85"/>
    <x v="1"/>
    <n v="18167.150000000001"/>
    <x v="0"/>
    <s v="Rent expense"/>
  </r>
  <r>
    <x v="63"/>
    <x v="6"/>
    <x v="2"/>
    <n v="4837.12"/>
    <x v="2"/>
    <n v="15162.880000000001"/>
    <x v="0"/>
    <s v="Health expense"/>
  </r>
  <r>
    <x v="64"/>
    <x v="11"/>
    <x v="1"/>
    <n v="3224.4"/>
    <x v="3"/>
    <n v="16775.599999999999"/>
    <x v="0"/>
    <s v="Mobile Bill expense"/>
  </r>
  <r>
    <x v="65"/>
    <x v="2"/>
    <x v="4"/>
    <n v="6200.28"/>
    <x v="0"/>
    <n v="13799.720000000001"/>
    <x v="0"/>
    <s v="Food expense"/>
  </r>
  <r>
    <x v="19"/>
    <x v="1"/>
    <x v="4"/>
    <n v="6070.57"/>
    <x v="0"/>
    <n v="13929.43"/>
    <x v="0"/>
    <s v="Food expense"/>
  </r>
  <r>
    <x v="66"/>
    <x v="8"/>
    <x v="3"/>
    <n v="3181.24"/>
    <x v="0"/>
    <n v="16818.760000000002"/>
    <x v="0"/>
    <s v="Entertainment expense"/>
  </r>
  <r>
    <x v="50"/>
    <x v="9"/>
    <x v="3"/>
    <n v="1168.21"/>
    <x v="0"/>
    <n v="18831.79"/>
    <x v="0"/>
    <s v="Entertainment expense"/>
  </r>
  <r>
    <x v="67"/>
    <x v="5"/>
    <x v="6"/>
    <n v="6774.61"/>
    <x v="0"/>
    <n v="13225.39"/>
    <x v="0"/>
    <s v="Shopping expense"/>
  </r>
  <r>
    <x v="17"/>
    <x v="6"/>
    <x v="3"/>
    <n v="3110.14"/>
    <x v="0"/>
    <n v="16889.86"/>
    <x v="0"/>
    <s v="Entertainment expense"/>
  </r>
  <r>
    <x v="68"/>
    <x v="3"/>
    <x v="6"/>
    <n v="6732.9"/>
    <x v="3"/>
    <n v="13267.1"/>
    <x v="0"/>
    <s v="Shopping expense"/>
  </r>
  <r>
    <x v="69"/>
    <x v="2"/>
    <x v="6"/>
    <n v="3895.99"/>
    <x v="3"/>
    <n v="16104.01"/>
    <x v="0"/>
    <s v="Shopping expense"/>
  </r>
  <r>
    <x v="70"/>
    <x v="8"/>
    <x v="6"/>
    <n v="2106.56"/>
    <x v="2"/>
    <n v="17893.439999999999"/>
    <x v="0"/>
    <s v="Shopping expense"/>
  </r>
  <r>
    <x v="71"/>
    <x v="2"/>
    <x v="3"/>
    <n v="7100.6"/>
    <x v="1"/>
    <n v="12899.4"/>
    <x v="0"/>
    <s v="Entertainment expense"/>
  </r>
  <r>
    <x v="72"/>
    <x v="6"/>
    <x v="2"/>
    <n v="8991.7199999999993"/>
    <x v="0"/>
    <n v="11008.28"/>
    <x v="0"/>
    <s v="Health expense"/>
  </r>
  <r>
    <x v="67"/>
    <x v="5"/>
    <x v="0"/>
    <n v="3815.89"/>
    <x v="0"/>
    <n v="16184.11"/>
    <x v="0"/>
    <s v="Electricity Bill expense"/>
  </r>
  <r>
    <x v="23"/>
    <x v="4"/>
    <x v="6"/>
    <n v="2005.16"/>
    <x v="2"/>
    <n v="17994.84"/>
    <x v="0"/>
    <s v="Shopping expense"/>
  </r>
  <r>
    <x v="73"/>
    <x v="9"/>
    <x v="6"/>
    <n v="1041.76"/>
    <x v="2"/>
    <n v="18958.240000000002"/>
    <x v="0"/>
    <s v="Shopping expense"/>
  </r>
  <r>
    <x v="74"/>
    <x v="9"/>
    <x v="7"/>
    <n v="4974.1099999999997"/>
    <x v="3"/>
    <n v="15025.89"/>
    <x v="0"/>
    <s v="Rent expense"/>
  </r>
  <r>
    <x v="50"/>
    <x v="9"/>
    <x v="3"/>
    <n v="1413.83"/>
    <x v="0"/>
    <n v="18586.169999999998"/>
    <x v="0"/>
    <s v="Entertainment expense"/>
  </r>
  <r>
    <x v="75"/>
    <x v="0"/>
    <x v="3"/>
    <n v="5041.33"/>
    <x v="0"/>
    <n v="14958.67"/>
    <x v="0"/>
    <s v="Entertainment expense"/>
  </r>
  <r>
    <x v="0"/>
    <x v="0"/>
    <x v="8"/>
    <n v="3047.68"/>
    <x v="1"/>
    <n v="16952.32"/>
    <x v="0"/>
    <s v="Groceries expense"/>
  </r>
  <r>
    <x v="54"/>
    <x v="5"/>
    <x v="7"/>
    <n v="1485.61"/>
    <x v="3"/>
    <n v="18514.39"/>
    <x v="0"/>
    <s v="Rent expense"/>
  </r>
  <r>
    <x v="76"/>
    <x v="6"/>
    <x v="7"/>
    <n v="5578.67"/>
    <x v="2"/>
    <n v="14421.33"/>
    <x v="0"/>
    <s v="Rent expense"/>
  </r>
  <r>
    <x v="45"/>
    <x v="2"/>
    <x v="0"/>
    <n v="1002.7"/>
    <x v="3"/>
    <n v="18997.3"/>
    <x v="0"/>
    <s v="Electricity Bill expense"/>
  </r>
  <r>
    <x v="9"/>
    <x v="1"/>
    <x v="7"/>
    <n v="4639.55"/>
    <x v="1"/>
    <n v="15360.45"/>
    <x v="0"/>
    <s v="Rent expense"/>
  </r>
  <r>
    <x v="16"/>
    <x v="3"/>
    <x v="0"/>
    <n v="2658.58"/>
    <x v="1"/>
    <n v="17341.419999999998"/>
    <x v="0"/>
    <s v="Electricity Bill expense"/>
  </r>
  <r>
    <x v="77"/>
    <x v="9"/>
    <x v="8"/>
    <n v="8275.24"/>
    <x v="1"/>
    <n v="11724.76"/>
    <x v="0"/>
    <s v="Groceries expense"/>
  </r>
  <r>
    <x v="78"/>
    <x v="6"/>
    <x v="8"/>
    <n v="8749.59"/>
    <x v="2"/>
    <n v="11250.41"/>
    <x v="0"/>
    <s v="Groceries expense"/>
  </r>
  <r>
    <x v="78"/>
    <x v="6"/>
    <x v="2"/>
    <n v="2473.86"/>
    <x v="2"/>
    <n v="17526.14"/>
    <x v="0"/>
    <s v="Health expense"/>
  </r>
  <r>
    <x v="46"/>
    <x v="10"/>
    <x v="0"/>
    <n v="6941.03"/>
    <x v="2"/>
    <n v="13058.970000000001"/>
    <x v="0"/>
    <s v="Electricity Bill expense"/>
  </r>
  <r>
    <x v="79"/>
    <x v="2"/>
    <x v="7"/>
    <n v="4131.8100000000004"/>
    <x v="1"/>
    <n v="15868.189999999999"/>
    <x v="0"/>
    <s v="Rent expense"/>
  </r>
  <r>
    <x v="80"/>
    <x v="6"/>
    <x v="6"/>
    <n v="5431.86"/>
    <x v="2"/>
    <n v="14568.14"/>
    <x v="0"/>
    <s v="Shopping expense"/>
  </r>
  <r>
    <x v="81"/>
    <x v="8"/>
    <x v="1"/>
    <n v="2300.58"/>
    <x v="1"/>
    <n v="17699.419999999998"/>
    <x v="0"/>
    <s v="Mobile Bill expense"/>
  </r>
  <r>
    <x v="55"/>
    <x v="10"/>
    <x v="2"/>
    <n v="4793.3999999999996"/>
    <x v="0"/>
    <n v="15206.6"/>
    <x v="0"/>
    <s v="Health expense"/>
  </r>
  <r>
    <x v="60"/>
    <x v="0"/>
    <x v="6"/>
    <n v="6418.51"/>
    <x v="1"/>
    <n v="28581.489999999998"/>
    <x v="6"/>
    <s v="Shopping expense"/>
  </r>
  <r>
    <x v="82"/>
    <x v="4"/>
    <x v="2"/>
    <n v="3741.44"/>
    <x v="2"/>
    <n v="31258.560000000001"/>
    <x v="6"/>
    <s v="Health expense"/>
  </r>
  <r>
    <x v="29"/>
    <x v="9"/>
    <x v="3"/>
    <n v="5214.76"/>
    <x v="2"/>
    <n v="29785.239999999998"/>
    <x v="6"/>
    <s v="Entertainment expense"/>
  </r>
  <r>
    <x v="83"/>
    <x v="4"/>
    <x v="0"/>
    <n v="8644.7000000000007"/>
    <x v="2"/>
    <n v="26355.3"/>
    <x v="6"/>
    <s v="Electricity Bill expense"/>
  </r>
  <r>
    <x v="84"/>
    <x v="11"/>
    <x v="0"/>
    <n v="6995.11"/>
    <x v="3"/>
    <n v="28004.89"/>
    <x v="6"/>
    <s v="Electricity Bill expense"/>
  </r>
  <r>
    <x v="85"/>
    <x v="0"/>
    <x v="0"/>
    <n v="6878.43"/>
    <x v="2"/>
    <n v="28121.57"/>
    <x v="6"/>
    <s v="Electricity Bill expense"/>
  </r>
  <r>
    <x v="86"/>
    <x v="11"/>
    <x v="8"/>
    <n v="82.32"/>
    <x v="1"/>
    <n v="34917.68"/>
    <x v="6"/>
    <s v="Groceries expense"/>
  </r>
  <r>
    <x v="87"/>
    <x v="6"/>
    <x v="6"/>
    <n v="211.42"/>
    <x v="0"/>
    <n v="34788.58"/>
    <x v="6"/>
    <s v="Shopping expense"/>
  </r>
  <r>
    <x v="88"/>
    <x v="9"/>
    <x v="4"/>
    <n v="2846.07"/>
    <x v="2"/>
    <n v="32153.93"/>
    <x v="6"/>
    <s v="Food expense"/>
  </r>
  <r>
    <x v="89"/>
    <x v="8"/>
    <x v="0"/>
    <n v="2244.87"/>
    <x v="0"/>
    <n v="32755.13"/>
    <x v="6"/>
    <s v="Electricity Bill expense"/>
  </r>
  <r>
    <x v="90"/>
    <x v="9"/>
    <x v="6"/>
    <n v="3903.27"/>
    <x v="2"/>
    <n v="31096.73"/>
    <x v="6"/>
    <s v="Shopping expense"/>
  </r>
  <r>
    <x v="33"/>
    <x v="9"/>
    <x v="3"/>
    <n v="3002.34"/>
    <x v="1"/>
    <n v="31997.66"/>
    <x v="6"/>
    <s v="Entertainment expense"/>
  </r>
  <r>
    <x v="73"/>
    <x v="9"/>
    <x v="4"/>
    <n v="2143.06"/>
    <x v="3"/>
    <n v="32856.94"/>
    <x v="6"/>
    <s v="Food expense"/>
  </r>
  <r>
    <x v="85"/>
    <x v="0"/>
    <x v="8"/>
    <n v="3453.74"/>
    <x v="3"/>
    <n v="16546.260000000002"/>
    <x v="0"/>
    <s v="Groceries expense"/>
  </r>
  <r>
    <x v="91"/>
    <x v="6"/>
    <x v="3"/>
    <n v="1515.32"/>
    <x v="0"/>
    <n v="18484.68"/>
    <x v="0"/>
    <s v="Entertainment expense"/>
  </r>
  <r>
    <x v="92"/>
    <x v="6"/>
    <x v="3"/>
    <n v="2529.19"/>
    <x v="2"/>
    <n v="17470.810000000001"/>
    <x v="0"/>
    <s v="Entertainment expense"/>
  </r>
  <r>
    <x v="74"/>
    <x v="9"/>
    <x v="3"/>
    <n v="926.32"/>
    <x v="3"/>
    <n v="19073.68"/>
    <x v="0"/>
    <s v="Entertainment expense"/>
  </r>
  <r>
    <x v="93"/>
    <x v="4"/>
    <x v="8"/>
    <n v="325.98"/>
    <x v="2"/>
    <n v="19674.02"/>
    <x v="0"/>
    <s v="Groceries expense"/>
  </r>
  <r>
    <x v="94"/>
    <x v="7"/>
    <x v="6"/>
    <n v="8197.23"/>
    <x v="2"/>
    <n v="11802.77"/>
    <x v="0"/>
    <s v="Shopping expense"/>
  </r>
  <r>
    <x v="95"/>
    <x v="8"/>
    <x v="4"/>
    <n v="7648.87"/>
    <x v="1"/>
    <n v="12351.130000000001"/>
    <x v="0"/>
    <s v="Food expense"/>
  </r>
  <r>
    <x v="96"/>
    <x v="9"/>
    <x v="5"/>
    <n v="7149.78"/>
    <x v="0"/>
    <n v="12850.220000000001"/>
    <x v="0"/>
    <s v="Transport expense"/>
  </r>
  <r>
    <x v="97"/>
    <x v="4"/>
    <x v="6"/>
    <n v="5673.58"/>
    <x v="0"/>
    <n v="14326.42"/>
    <x v="0"/>
    <s v="Shopping expense"/>
  </r>
  <r>
    <x v="98"/>
    <x v="5"/>
    <x v="4"/>
    <n v="4763.32"/>
    <x v="1"/>
    <n v="15236.68"/>
    <x v="0"/>
    <s v="Food expense"/>
  </r>
  <r>
    <x v="99"/>
    <x v="4"/>
    <x v="7"/>
    <n v="1377.39"/>
    <x v="0"/>
    <n v="18622.61"/>
    <x v="0"/>
    <s v="Rent expense"/>
  </r>
  <r>
    <x v="70"/>
    <x v="8"/>
    <x v="5"/>
    <n v="7736.77"/>
    <x v="1"/>
    <n v="12263.23"/>
    <x v="0"/>
    <s v="Transport expense"/>
  </r>
  <r>
    <x v="100"/>
    <x v="8"/>
    <x v="6"/>
    <n v="6808.7"/>
    <x v="1"/>
    <n v="13191.3"/>
    <x v="0"/>
    <s v="Shopping expense"/>
  </r>
  <r>
    <x v="66"/>
    <x v="8"/>
    <x v="7"/>
    <n v="2178.3200000000002"/>
    <x v="3"/>
    <n v="17821.68"/>
    <x v="0"/>
    <s v="Rent expense"/>
  </r>
  <r>
    <x v="101"/>
    <x v="10"/>
    <x v="4"/>
    <n v="8795.02"/>
    <x v="3"/>
    <n v="11204.98"/>
    <x v="0"/>
    <s v="Food expense"/>
  </r>
  <r>
    <x v="102"/>
    <x v="2"/>
    <x v="2"/>
    <n v="4937.49"/>
    <x v="1"/>
    <n v="15062.51"/>
    <x v="0"/>
    <s v="Health expense"/>
  </r>
  <r>
    <x v="103"/>
    <x v="10"/>
    <x v="7"/>
    <n v="6702.28"/>
    <x v="0"/>
    <n v="13297.720000000001"/>
    <x v="0"/>
    <s v="Rent expense"/>
  </r>
  <r>
    <x v="104"/>
    <x v="9"/>
    <x v="0"/>
    <n v="8452.2199999999993"/>
    <x v="1"/>
    <n v="11547.78"/>
    <x v="0"/>
    <s v="Electricity Bill expense"/>
  </r>
  <r>
    <x v="105"/>
    <x v="5"/>
    <x v="3"/>
    <n v="7037.72"/>
    <x v="1"/>
    <n v="12962.279999999999"/>
    <x v="0"/>
    <s v="Entertainment expense"/>
  </r>
  <r>
    <x v="106"/>
    <x v="0"/>
    <x v="3"/>
    <n v="7084.23"/>
    <x v="2"/>
    <n v="12915.77"/>
    <x v="0"/>
    <s v="Entertainment expense"/>
  </r>
  <r>
    <x v="107"/>
    <x v="2"/>
    <x v="7"/>
    <n v="5633.95"/>
    <x v="3"/>
    <n v="14366.05"/>
    <x v="0"/>
    <s v="Rent expense"/>
  </r>
  <r>
    <x v="18"/>
    <x v="7"/>
    <x v="8"/>
    <n v="4010.16"/>
    <x v="3"/>
    <n v="15989.84"/>
    <x v="0"/>
    <s v="Groceries expense"/>
  </r>
  <r>
    <x v="108"/>
    <x v="11"/>
    <x v="1"/>
    <n v="1595.75"/>
    <x v="3"/>
    <n v="18404.25"/>
    <x v="0"/>
    <s v="Mobile Bill expense"/>
  </r>
  <r>
    <x v="109"/>
    <x v="10"/>
    <x v="1"/>
    <n v="6445.36"/>
    <x v="1"/>
    <n v="13554.64"/>
    <x v="0"/>
    <s v="Mobile Bill expense"/>
  </r>
  <r>
    <x v="110"/>
    <x v="7"/>
    <x v="7"/>
    <n v="8862.4"/>
    <x v="3"/>
    <n v="11137.6"/>
    <x v="0"/>
    <s v="Rent expense"/>
  </r>
  <r>
    <x v="73"/>
    <x v="9"/>
    <x v="4"/>
    <n v="7840.96"/>
    <x v="0"/>
    <n v="12159.04"/>
    <x v="0"/>
    <s v="Food expense"/>
  </r>
  <r>
    <x v="111"/>
    <x v="11"/>
    <x v="1"/>
    <n v="185.67"/>
    <x v="0"/>
    <n v="14814.33"/>
    <x v="7"/>
    <s v="Mobile Bill expense"/>
  </r>
  <r>
    <x v="112"/>
    <x v="4"/>
    <x v="0"/>
    <n v="7308.08"/>
    <x v="2"/>
    <n v="7691.92"/>
    <x v="7"/>
    <s v="Electricity Bill expense"/>
  </r>
  <r>
    <x v="113"/>
    <x v="2"/>
    <x v="8"/>
    <n v="8389.33"/>
    <x v="3"/>
    <n v="6610.67"/>
    <x v="7"/>
    <s v="Groceries expense"/>
  </r>
  <r>
    <x v="114"/>
    <x v="7"/>
    <x v="7"/>
    <n v="6447.07"/>
    <x v="2"/>
    <n v="8552.93"/>
    <x v="7"/>
    <s v="Rent expense"/>
  </r>
  <r>
    <x v="27"/>
    <x v="9"/>
    <x v="3"/>
    <n v="8133.83"/>
    <x v="2"/>
    <n v="6866.17"/>
    <x v="7"/>
    <s v="Entertainment expense"/>
  </r>
  <r>
    <x v="31"/>
    <x v="10"/>
    <x v="2"/>
    <n v="6350.66"/>
    <x v="3"/>
    <n v="8649.34"/>
    <x v="7"/>
    <s v="Health expense"/>
  </r>
  <r>
    <x v="78"/>
    <x v="6"/>
    <x v="8"/>
    <n v="7878.67"/>
    <x v="3"/>
    <n v="7121.33"/>
    <x v="7"/>
    <s v="Groceries expense"/>
  </r>
  <r>
    <x v="82"/>
    <x v="4"/>
    <x v="8"/>
    <n v="3681.29"/>
    <x v="3"/>
    <n v="16318.71"/>
    <x v="0"/>
    <s v="Groceries expense"/>
  </r>
  <r>
    <x v="115"/>
    <x v="7"/>
    <x v="7"/>
    <n v="5866.92"/>
    <x v="3"/>
    <n v="14133.08"/>
    <x v="0"/>
    <s v="Rent expen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220475.38"/>
  </r>
  <r>
    <x v="1"/>
    <n v="139979.37999999998"/>
  </r>
  <r>
    <x v="2"/>
    <n v="196342.09999999998"/>
  </r>
  <r>
    <x v="3"/>
    <n v="200643.6"/>
  </r>
  <r>
    <x v="4"/>
    <n v="214899.93999999997"/>
  </r>
  <r>
    <x v="5"/>
    <n v="203678.18999999997"/>
  </r>
  <r>
    <x v="6"/>
    <n v="416365.09999999986"/>
  </r>
  <r>
    <x v="7"/>
    <n v="241696.88"/>
  </r>
  <r>
    <x v="8"/>
    <n v="305101.51999999996"/>
  </r>
  <r>
    <x v="9"/>
    <n v="239584.75000000003"/>
  </r>
  <r>
    <x v="10"/>
    <n v="238426.74"/>
  </r>
  <r>
    <x v="11"/>
    <n v="134780.75"/>
  </r>
  <r>
    <x v="12"/>
    <n v="2751974.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E525B-0015-4010-883A-468C1D35D846}" name="PivotTable4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M28:AN42" firstHeaderRow="1" firstDataRow="1" firstDataCol="1"/>
  <pivotFields count="2">
    <pivotField axis="axisRow" showAll="0">
      <items count="14">
        <item x="0"/>
        <item x="1"/>
        <item x="2"/>
        <item x="3"/>
        <item x="4"/>
        <item x="5"/>
        <item x="6"/>
        <item x="7"/>
        <item x="8"/>
        <item x="9"/>
        <item x="10"/>
        <item x="11"/>
        <item x="12"/>
        <item t="default"/>
      </items>
    </pivotField>
    <pivotField dataField="1" showAll="0"/>
  </pivotFields>
  <rowFields count="1">
    <field x="0"/>
  </rowFields>
  <rowItems count="14">
    <i>
      <x/>
    </i>
    <i>
      <x v="1"/>
    </i>
    <i>
      <x v="2"/>
    </i>
    <i>
      <x v="3"/>
    </i>
    <i>
      <x v="4"/>
    </i>
    <i>
      <x v="5"/>
    </i>
    <i>
      <x v="6"/>
    </i>
    <i>
      <x v="7"/>
    </i>
    <i>
      <x v="8"/>
    </i>
    <i>
      <x v="9"/>
    </i>
    <i>
      <x v="10"/>
    </i>
    <i>
      <x v="11"/>
    </i>
    <i>
      <x v="12"/>
    </i>
    <i t="grand">
      <x/>
    </i>
  </rowItems>
  <colItems count="1">
    <i/>
  </colItems>
  <dataFields count="1">
    <dataField name="Sum of Sum of SAVING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E1287-74D9-4075-9CA7-5406726F5643}" name="PivotTable4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O9:AP18" firstHeaderRow="1" firstDataRow="1" firstDataCol="1"/>
  <pivotFields count="9">
    <pivotField numFmtId="164" showAll="0"/>
    <pivotField showAll="0"/>
    <pivotField showAll="0"/>
    <pivotField dataField="1" showAll="0"/>
    <pivotField showAll="0"/>
    <pivotField showAll="0"/>
    <pivotField axis="axisRow" showAll="0">
      <items count="9">
        <item x="7"/>
        <item x="0"/>
        <item x="4"/>
        <item x="2"/>
        <item x="5"/>
        <item x="3"/>
        <item x="6"/>
        <item x="1"/>
        <item t="default"/>
      </items>
    </pivotField>
    <pivotField showAll="0"/>
    <pivotField showAll="0" defaultSubtotal="0"/>
  </pivotFields>
  <rowFields count="1">
    <field x="6"/>
  </rowFields>
  <rowItems count="9">
    <i>
      <x/>
    </i>
    <i>
      <x v="1"/>
    </i>
    <i>
      <x v="2"/>
    </i>
    <i>
      <x v="3"/>
    </i>
    <i>
      <x v="4"/>
    </i>
    <i>
      <x v="5"/>
    </i>
    <i>
      <x v="6"/>
    </i>
    <i>
      <x v="7"/>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D230DE-63FE-4374-BBCF-DB1281E4064A}" name="PivotTable39"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5:B6"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h="1" x="2"/>
        <item h="1" x="11"/>
        <item h="1" x="8"/>
        <item h="1" x="10"/>
        <item x="0"/>
        <item h="1" x="5"/>
        <item h="1" x="9"/>
        <item h="1" x="3"/>
        <item h="1" x="1"/>
        <item h="1" x="6"/>
        <item h="1" x="4"/>
        <item h="1" x="7"/>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
    <i>
      <x v="4"/>
    </i>
  </rowItems>
  <colItems count="1">
    <i/>
  </colItem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D8DFE-1C38-46B4-989F-742A7A891A06}" name="PivotTable4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K8:AL21" firstHeaderRow="1" firstDataRow="1" firstDataCol="1"/>
  <pivotFields count="9">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0"/>
  </rowFields>
  <rowItems count="13">
    <i>
      <x v="1"/>
    </i>
    <i>
      <x v="2"/>
    </i>
    <i>
      <x v="3"/>
    </i>
    <i>
      <x v="4"/>
    </i>
    <i>
      <x v="5"/>
    </i>
    <i>
      <x v="6"/>
    </i>
    <i>
      <x v="7"/>
    </i>
    <i>
      <x v="8"/>
    </i>
    <i>
      <x v="9"/>
    </i>
    <i>
      <x v="10"/>
    </i>
    <i>
      <x v="11"/>
    </i>
    <i>
      <x v="12"/>
    </i>
    <i t="grand">
      <x/>
    </i>
  </rowItems>
  <colItems count="1">
    <i/>
  </colItems>
  <dataFields count="1">
    <dataField name="Sum of SAVINGS" fld="5"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4"/>
          </reference>
        </references>
      </pivotArea>
    </chartFormat>
    <chartFormat chart="0" format="5">
      <pivotArea type="data" outline="0" fieldPosition="0">
        <references count="2">
          <reference field="4294967294" count="1" selected="0">
            <x v="0"/>
          </reference>
          <reference field="8" count="1" selected="0">
            <x v="5"/>
          </reference>
        </references>
      </pivotArea>
    </chartFormat>
    <chartFormat chart="0" format="6">
      <pivotArea type="data" outline="0" fieldPosition="0">
        <references count="2">
          <reference field="4294967294" count="1" selected="0">
            <x v="0"/>
          </reference>
          <reference field="8" count="1" selected="0">
            <x v="6"/>
          </reference>
        </references>
      </pivotArea>
    </chartFormat>
    <chartFormat chart="0" format="7">
      <pivotArea type="data" outline="0" fieldPosition="0">
        <references count="2">
          <reference field="4294967294" count="1" selected="0">
            <x v="0"/>
          </reference>
          <reference field="8" count="1" selected="0">
            <x v="7"/>
          </reference>
        </references>
      </pivotArea>
    </chartFormat>
    <chartFormat chart="0" format="8">
      <pivotArea type="data" outline="0" fieldPosition="0">
        <references count="2">
          <reference field="4294967294" count="1" selected="0">
            <x v="0"/>
          </reference>
          <reference field="8" count="1" selected="0">
            <x v="8"/>
          </reference>
        </references>
      </pivotArea>
    </chartFormat>
    <chartFormat chart="0" format="9">
      <pivotArea type="data" outline="0" fieldPosition="0">
        <references count="2">
          <reference field="4294967294" count="1" selected="0">
            <x v="0"/>
          </reference>
          <reference field="8" count="1" selected="0">
            <x v="9"/>
          </reference>
        </references>
      </pivotArea>
    </chartFormat>
    <chartFormat chart="0" format="10">
      <pivotArea type="data" outline="0" fieldPosition="0">
        <references count="2">
          <reference field="4294967294" count="1" selected="0">
            <x v="0"/>
          </reference>
          <reference field="8" count="1" selected="0">
            <x v="10"/>
          </reference>
        </references>
      </pivotArea>
    </chartFormat>
    <chartFormat chart="0" format="11">
      <pivotArea type="data" outline="0" fieldPosition="0">
        <references count="2">
          <reference field="4294967294" count="1" selected="0">
            <x v="0"/>
          </reference>
          <reference field="8" count="1" selected="0">
            <x v="11"/>
          </reference>
        </references>
      </pivotArea>
    </chartFormat>
    <chartFormat chart="0" format="12">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06C596-B76A-4C47-A3BF-4BD120CD35A7}" name="PivotTable43"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V5:W6"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h="1" x="2"/>
        <item h="1" x="11"/>
        <item h="1" x="8"/>
        <item h="1" x="10"/>
        <item x="0"/>
        <item h="1" x="5"/>
        <item h="1" x="9"/>
        <item h="1" x="3"/>
        <item h="1" x="1"/>
        <item h="1" x="6"/>
        <item h="1" x="4"/>
        <item h="1" x="7"/>
        <item t="default"/>
      </items>
    </pivotField>
    <pivotField showAll="0">
      <items count="10">
        <item x="0"/>
        <item x="3"/>
        <item x="4"/>
        <item x="8"/>
        <item x="2"/>
        <item x="1"/>
        <item x="7"/>
        <item x="6"/>
        <item x="5"/>
        <item t="default"/>
      </items>
    </pivotField>
    <pivotField showAll="0"/>
    <pivotField showAll="0">
      <items count="5">
        <item x="1"/>
        <item x="2"/>
        <item x="0"/>
        <item x="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1">
    <i>
      <x v="4"/>
    </i>
  </rowItems>
  <colItems count="1">
    <i/>
  </colItems>
  <dataFields count="1">
    <dataField name="Sum of SAVING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BDD0E1-965A-41F8-B286-786AB3747131}" name="PivotTable42"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N5:O12"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h="1" x="2"/>
        <item h="1" x="11"/>
        <item h="1" x="8"/>
        <item h="1" x="10"/>
        <item x="0"/>
        <item h="1" x="5"/>
        <item h="1" x="9"/>
        <item h="1" x="3"/>
        <item h="1" x="1"/>
        <item h="1" x="6"/>
        <item h="1" x="4"/>
        <item h="1" x="7"/>
        <item t="default"/>
      </items>
    </pivotField>
    <pivotField axis="axisRow" showAll="0">
      <items count="10">
        <item x="0"/>
        <item x="3"/>
        <item x="4"/>
        <item x="8"/>
        <item x="2"/>
        <item x="1"/>
        <item x="7"/>
        <item x="6"/>
        <item x="5"/>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7">
    <i>
      <x/>
    </i>
    <i>
      <x v="1"/>
    </i>
    <i>
      <x v="3"/>
    </i>
    <i>
      <x v="4"/>
    </i>
    <i>
      <x v="5"/>
    </i>
    <i>
      <x v="7"/>
    </i>
    <i>
      <x v="8"/>
    </i>
  </rowItems>
  <colItems count="1">
    <i/>
  </colItem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6DBC9F-B1E3-4CFD-B4D7-D5482BD3290F}" name="PivotTable40"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H5:I9"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h="1" x="2"/>
        <item h="1" x="11"/>
        <item h="1" x="8"/>
        <item h="1" x="10"/>
        <item x="0"/>
        <item h="1" x="5"/>
        <item h="1" x="9"/>
        <item h="1" x="3"/>
        <item h="1" x="1"/>
        <item h="1" x="6"/>
        <item h="1" x="4"/>
        <item h="1" x="7"/>
        <item t="default"/>
      </items>
    </pivotField>
    <pivotField showAll="0"/>
    <pivotField dataField="1" showAll="0"/>
    <pivotField axis="axisRow" showAll="0">
      <items count="5">
        <item x="1"/>
        <item x="2"/>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x v="3"/>
    </i>
  </rowItems>
  <colItems count="1">
    <i/>
  </colItems>
  <dataFields count="1">
    <dataField name="Sum of Amount" fld="3"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008A4E2-92F5-428F-85FB-3D3FBDFA922D}" sourceName="month">
  <pivotTables>
    <pivotTable tabId="2" name="PivotTable43"/>
    <pivotTable tabId="2" name="PivotTable39"/>
    <pivotTable tabId="2" name="PivotTable40"/>
    <pivotTable tabId="2" name="PivotTable42"/>
  </pivotTables>
  <data>
    <tabular pivotCacheId="1589572839">
      <items count="12">
        <i x="2"/>
        <i x="11"/>
        <i x="8"/>
        <i x="10"/>
        <i x="0" s="1"/>
        <i x="5"/>
        <i x="9"/>
        <i x="3"/>
        <i x="1"/>
        <i x="6"/>
        <i x="4"/>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3784A5-650C-40A8-A4D2-53D385DB2C63}" sourceName="Category">
  <pivotTables>
    <pivotTable tabId="2" name="PivotTable43"/>
  </pivotTables>
  <data>
    <tabular pivotCacheId="1589572839">
      <items count="9">
        <i x="0" s="1"/>
        <i x="3" s="1"/>
        <i x="8" s="1"/>
        <i x="2" s="1"/>
        <i x="1" s="1"/>
        <i x="6" s="1"/>
        <i x="5" s="1"/>
        <i x="4" s="1" nd="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EBBD6A-AAA0-4587-AC29-7C6803BE1A98}" sourceName="Payment Mode">
  <pivotTables>
    <pivotTable tabId="2" name="PivotTable43"/>
  </pivotTables>
  <data>
    <tabular pivotCacheId="158957283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BCB57E4-01C7-4CA5-AFEB-A5D0849D85B4}" cache="Slicer_month" caption="month" rowHeight="234950"/>
  <slicer name="Category" xr10:uid="{0607AE7D-4059-45B0-9E9A-950BCA4C9E38}" cache="Slicer_Category" caption="Category" startItem="1" rowHeight="234950"/>
  <slicer name="Payment Mode" xr10:uid="{1B8F17EE-C38C-4FF8-8337-8556CF9A2AE8}" cache="Slicer_Payment_Mode" caption="Payment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B76DE3B-44B4-434A-82B1-90BF5662CCC3}" cache="Slicer_month" caption="month" style="SlicerStyleDark5" rowHeight="234950"/>
  <slicer name="Payment Mode 1" xr10:uid="{B5D8C1C4-4840-4664-B987-A4AC6E611EBC}" cache="Slicer_Payment_Mode" caption="Payment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6B048F-B54D-4461-A074-BE888D8B32DD}" name="Table256" displayName="Table256" ref="D4:K154" totalsRowShown="0" headerRowDxfId="11" dataDxfId="9" headerRowBorderDxfId="10" tableBorderDxfId="8">
  <autoFilter ref="D4:K154" xr:uid="{53859067-863B-45B4-AE87-5AE91A2B202A}"/>
  <tableColumns count="8">
    <tableColumn id="1" xr3:uid="{16257581-430F-4FD1-8C9F-139B96800701}" name="Date" dataDxfId="7"/>
    <tableColumn id="6" xr3:uid="{A3B5B727-2F62-48B0-8048-A8BF4A90BD4B}" name="month" dataDxfId="6">
      <calculatedColumnFormula>TEXT(Table256[[#This Row],[Date]],"mmmm")</calculatedColumnFormula>
    </tableColumn>
    <tableColumn id="2" xr3:uid="{90482BCE-BCA2-4199-91C1-E1C3709F9699}" name="Category" dataDxfId="5"/>
    <tableColumn id="3" xr3:uid="{4985BD43-DC67-4850-B769-B73DF92C9CAB}" name="Amount" dataDxfId="4"/>
    <tableColumn id="4" xr3:uid="{B8D37999-4CCB-49C4-94B8-51920A5C1F0E}" name="Payment Mode" dataDxfId="3"/>
    <tableColumn id="9" xr3:uid="{DDA5BD13-6AF1-4599-95F6-90AFEAED4F5B}" name="SAVINGS" dataDxfId="2">
      <calculatedColumnFormula>Table256[[#This Row],[INCOME]]-Table256[[#This Row],[Amount]]</calculatedColumnFormula>
    </tableColumn>
    <tableColumn id="10" xr3:uid="{6CBDEE19-3821-458F-B7A5-F2BF3254BA6C}" name="INCOME" dataDxfId="1"/>
    <tableColumn id="5" xr3:uid="{34DC3A35-0DCF-459C-8F79-892CE169AA3B}" name="Description" dataDxfId="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DABFF2-7DF9-4E42-8202-19FAD0B0E03F}" name="Table3" displayName="Table3" ref="O4:O5" totalsRowShown="0">
  <autoFilter ref="O4:O5" xr:uid="{43F79EF2-1DF2-48AF-8FFF-808BBE0F9F4A}"/>
  <tableColumns count="1">
    <tableColumn id="1" xr3:uid="{F069AC33-FA76-460C-A0FC-CC557A4BD6C9}" name="SALARY"/>
  </tableColumns>
  <tableStyleInfo name="TableStyleLight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20B1-8E7E-463E-B9BF-EE71BD241E84}">
  <dimension ref="D4:O154"/>
  <sheetViews>
    <sheetView topLeftCell="B1" workbookViewId="0">
      <selection activeCell="N12" sqref="N12"/>
    </sheetView>
  </sheetViews>
  <sheetFormatPr defaultRowHeight="14.4" x14ac:dyDescent="0.3"/>
  <cols>
    <col min="4" max="4" width="16.77734375" customWidth="1"/>
    <col min="5" max="5" width="11.109375" customWidth="1"/>
    <col min="6" max="6" width="13" customWidth="1"/>
    <col min="7" max="7" width="12.33203125" customWidth="1"/>
    <col min="8" max="8" width="18.5546875" customWidth="1"/>
    <col min="9" max="10" width="13" customWidth="1"/>
    <col min="11" max="11" width="20" customWidth="1"/>
    <col min="15" max="15" width="9" customWidth="1"/>
  </cols>
  <sheetData>
    <row r="4" spans="4:15" x14ac:dyDescent="0.3">
      <c r="D4" s="1" t="s">
        <v>0</v>
      </c>
      <c r="E4" s="2" t="s">
        <v>1</v>
      </c>
      <c r="F4" s="1" t="s">
        <v>2</v>
      </c>
      <c r="G4" s="1" t="s">
        <v>3</v>
      </c>
      <c r="H4" s="1" t="s">
        <v>4</v>
      </c>
      <c r="I4" s="1" t="s">
        <v>5</v>
      </c>
      <c r="J4" s="1" t="s">
        <v>50</v>
      </c>
      <c r="K4" s="1" t="s">
        <v>6</v>
      </c>
      <c r="M4" t="s">
        <v>49</v>
      </c>
      <c r="O4" t="s">
        <v>29</v>
      </c>
    </row>
    <row r="5" spans="4:15" x14ac:dyDescent="0.3">
      <c r="D5" s="3">
        <v>45784</v>
      </c>
      <c r="E5" s="4" t="str">
        <f>TEXT(Table256[[#This Row],[Date]],"mmmm")</f>
        <v>May</v>
      </c>
      <c r="F5" s="4" t="s">
        <v>7</v>
      </c>
      <c r="G5" s="4">
        <v>5788.95</v>
      </c>
      <c r="H5" s="4" t="s">
        <v>8</v>
      </c>
      <c r="I5" s="4">
        <f>Table256[[#This Row],[INCOME]]-Table256[[#This Row],[Amount]]</f>
        <v>14211.05</v>
      </c>
      <c r="J5" s="4">
        <v>20000</v>
      </c>
      <c r="K5" s="4" t="s">
        <v>9</v>
      </c>
      <c r="O5">
        <v>20000</v>
      </c>
    </row>
    <row r="6" spans="4:15" x14ac:dyDescent="0.3">
      <c r="D6" s="3">
        <v>45902</v>
      </c>
      <c r="E6" s="4" t="str">
        <f>TEXT(Table256[[#This Row],[Date]],"mmmm")</f>
        <v>September</v>
      </c>
      <c r="F6" s="4" t="s">
        <v>10</v>
      </c>
      <c r="G6" s="4">
        <v>996.47</v>
      </c>
      <c r="H6" s="4" t="s">
        <v>11</v>
      </c>
      <c r="I6" s="4">
        <f>Table256[[#This Row],[INCOME]]-Table256[[#This Row],[Amount]]</f>
        <v>39003.53</v>
      </c>
      <c r="J6" s="4">
        <v>40000</v>
      </c>
      <c r="K6" s="4" t="s">
        <v>12</v>
      </c>
    </row>
    <row r="7" spans="4:15" x14ac:dyDescent="0.3">
      <c r="D7" s="3">
        <v>45911</v>
      </c>
      <c r="E7" s="4" t="str">
        <f>TEXT(Table256[[#This Row],[Date]],"mmmm")</f>
        <v>September</v>
      </c>
      <c r="F7" s="4" t="s">
        <v>13</v>
      </c>
      <c r="G7" s="4">
        <v>7868.65</v>
      </c>
      <c r="H7" s="4" t="s">
        <v>14</v>
      </c>
      <c r="I7" s="4">
        <f>Table256[[#This Row],[INCOME]]-Table256[[#This Row],[Amount]]</f>
        <v>12131.35</v>
      </c>
      <c r="J7" s="4">
        <v>20000</v>
      </c>
      <c r="K7" s="4" t="s">
        <v>15</v>
      </c>
    </row>
    <row r="8" spans="4:15" x14ac:dyDescent="0.3">
      <c r="D8" s="3">
        <v>45673</v>
      </c>
      <c r="E8" s="4" t="str">
        <f>TEXT(Table256[[#This Row],[Date]],"mmmm")</f>
        <v>January</v>
      </c>
      <c r="F8" s="4" t="s">
        <v>10</v>
      </c>
      <c r="G8" s="4">
        <v>6007.01</v>
      </c>
      <c r="H8" s="4" t="s">
        <v>16</v>
      </c>
      <c r="I8" s="4">
        <f>Table256[[#This Row],[INCOME]]-Table256[[#This Row],[Amount]]</f>
        <v>13992.99</v>
      </c>
      <c r="J8" s="4">
        <v>20000</v>
      </c>
      <c r="K8" s="4" t="s">
        <v>12</v>
      </c>
    </row>
    <row r="9" spans="4:15" x14ac:dyDescent="0.3">
      <c r="D9" s="3">
        <v>45873</v>
      </c>
      <c r="E9" s="4" t="str">
        <f>TEXT(Table256[[#This Row],[Date]],"mmmm")</f>
        <v>August</v>
      </c>
      <c r="F9" s="4" t="s">
        <v>13</v>
      </c>
      <c r="G9" s="4">
        <v>2457.73</v>
      </c>
      <c r="H9" s="4" t="s">
        <v>14</v>
      </c>
      <c r="I9" s="4">
        <f>Table256[[#This Row],[INCOME]]-Table256[[#This Row],[Amount]]</f>
        <v>37542.269999999997</v>
      </c>
      <c r="J9" s="4">
        <v>40000</v>
      </c>
      <c r="K9" s="4" t="s">
        <v>15</v>
      </c>
    </row>
    <row r="10" spans="4:15" x14ac:dyDescent="0.3">
      <c r="D10" s="3">
        <v>45975</v>
      </c>
      <c r="E10" s="4" t="str">
        <f>TEXT(Table256[[#This Row],[Date]],"mmmm")</f>
        <v>November</v>
      </c>
      <c r="F10" s="4" t="s">
        <v>17</v>
      </c>
      <c r="G10" s="4">
        <v>1489.29</v>
      </c>
      <c r="H10" s="4" t="s">
        <v>14</v>
      </c>
      <c r="I10" s="4">
        <f>Table256[[#This Row],[INCOME]]-Table256[[#This Row],[Amount]]</f>
        <v>28510.71</v>
      </c>
      <c r="J10" s="4">
        <v>30000</v>
      </c>
      <c r="K10" s="4" t="s">
        <v>18</v>
      </c>
    </row>
    <row r="11" spans="4:15" x14ac:dyDescent="0.3">
      <c r="D11" s="3">
        <v>45809</v>
      </c>
      <c r="E11" s="4" t="str">
        <f>TEXT(Table256[[#This Row],[Date]],"mmmm")</f>
        <v>June</v>
      </c>
      <c r="F11" s="4" t="s">
        <v>10</v>
      </c>
      <c r="G11" s="4">
        <v>3373.47</v>
      </c>
      <c r="H11" s="4" t="s">
        <v>11</v>
      </c>
      <c r="I11" s="4">
        <f>Table256[[#This Row],[INCOME]]-Table256[[#This Row],[Amount]]</f>
        <v>26626.53</v>
      </c>
      <c r="J11" s="4">
        <v>30000</v>
      </c>
      <c r="K11" s="4" t="s">
        <v>12</v>
      </c>
    </row>
    <row r="12" spans="4:15" x14ac:dyDescent="0.3">
      <c r="D12" s="3">
        <v>45887</v>
      </c>
      <c r="E12" s="4" t="str">
        <f>TEXT(Table256[[#This Row],[Date]],"mmmm")</f>
        <v>August</v>
      </c>
      <c r="F12" s="4" t="s">
        <v>19</v>
      </c>
      <c r="G12" s="4">
        <v>3181.53</v>
      </c>
      <c r="H12" s="4" t="s">
        <v>16</v>
      </c>
      <c r="I12" s="4">
        <f>Table256[[#This Row],[INCOME]]-Table256[[#This Row],[Amount]]</f>
        <v>16818.47</v>
      </c>
      <c r="J12" s="4">
        <v>20000</v>
      </c>
      <c r="K12" s="4" t="s">
        <v>20</v>
      </c>
      <c r="N12">
        <f>INCOME-AMOUNT</f>
        <v>16818.47</v>
      </c>
    </row>
    <row r="13" spans="4:15" x14ac:dyDescent="0.3">
      <c r="D13" s="3">
        <v>45923</v>
      </c>
      <c r="E13" s="4" t="str">
        <f>TEXT(Table256[[#This Row],[Date]],"mmmm")</f>
        <v>September</v>
      </c>
      <c r="F13" s="4" t="s">
        <v>21</v>
      </c>
      <c r="G13" s="4">
        <v>556.9</v>
      </c>
      <c r="H13" s="4" t="s">
        <v>16</v>
      </c>
      <c r="I13" s="4">
        <f>Table256[[#This Row],[INCOME]]-Table256[[#This Row],[Amount]]</f>
        <v>19443.099999999999</v>
      </c>
      <c r="J13" s="4">
        <v>20000</v>
      </c>
      <c r="K13" s="4" t="s">
        <v>22</v>
      </c>
    </row>
    <row r="14" spans="4:15" x14ac:dyDescent="0.3">
      <c r="D14" s="3">
        <v>45930</v>
      </c>
      <c r="E14" s="4" t="str">
        <f>TEXT(Table256[[#This Row],[Date]],"mmmm")</f>
        <v>September</v>
      </c>
      <c r="F14" s="4" t="s">
        <v>19</v>
      </c>
      <c r="G14" s="4">
        <v>8070.28</v>
      </c>
      <c r="H14" s="4" t="s">
        <v>8</v>
      </c>
      <c r="I14" s="4">
        <f>Table256[[#This Row],[INCOME]]-Table256[[#This Row],[Amount]]</f>
        <v>11929.720000000001</v>
      </c>
      <c r="J14" s="4">
        <v>20000</v>
      </c>
      <c r="K14" s="4" t="s">
        <v>20</v>
      </c>
    </row>
    <row r="15" spans="4:15" x14ac:dyDescent="0.3">
      <c r="D15" s="3">
        <v>45678</v>
      </c>
      <c r="E15" s="4" t="str">
        <f>TEXT(Table256[[#This Row],[Date]],"mmmm")</f>
        <v>January</v>
      </c>
      <c r="F15" s="4" t="s">
        <v>13</v>
      </c>
      <c r="G15" s="4">
        <v>6721.51</v>
      </c>
      <c r="H15" s="4" t="s">
        <v>16</v>
      </c>
      <c r="I15" s="4">
        <f>Table256[[#This Row],[INCOME]]-Table256[[#This Row],[Amount]]</f>
        <v>13278.49</v>
      </c>
      <c r="J15" s="4">
        <v>20000</v>
      </c>
      <c r="K15" s="4" t="s">
        <v>15</v>
      </c>
    </row>
    <row r="16" spans="4:15" x14ac:dyDescent="0.3">
      <c r="D16" s="3">
        <v>45977</v>
      </c>
      <c r="E16" s="4" t="str">
        <f>TEXT(Table256[[#This Row],[Date]],"mmmm")</f>
        <v>November</v>
      </c>
      <c r="F16" s="4" t="s">
        <v>23</v>
      </c>
      <c r="G16" s="4">
        <v>7842.65</v>
      </c>
      <c r="H16" s="4" t="s">
        <v>16</v>
      </c>
      <c r="I16" s="4">
        <f>Table256[[#This Row],[INCOME]]-Table256[[#This Row],[Amount]]</f>
        <v>12157.35</v>
      </c>
      <c r="J16" s="4">
        <v>20000</v>
      </c>
      <c r="K16" s="4" t="s">
        <v>24</v>
      </c>
    </row>
    <row r="17" spans="4:11" x14ac:dyDescent="0.3">
      <c r="D17" s="3">
        <v>45788</v>
      </c>
      <c r="E17" s="4" t="str">
        <f>TEXT(Table256[[#This Row],[Date]],"mmmm")</f>
        <v>May</v>
      </c>
      <c r="F17" s="4" t="s">
        <v>23</v>
      </c>
      <c r="G17" s="4">
        <v>8213.7900000000009</v>
      </c>
      <c r="H17" s="4" t="s">
        <v>16</v>
      </c>
      <c r="I17" s="4">
        <f>Table256[[#This Row],[INCOME]]-Table256[[#This Row],[Amount]]</f>
        <v>11786.21</v>
      </c>
      <c r="J17" s="4">
        <v>20000</v>
      </c>
      <c r="K17" s="4" t="s">
        <v>24</v>
      </c>
    </row>
    <row r="18" spans="4:11" x14ac:dyDescent="0.3">
      <c r="D18" s="3">
        <v>45958</v>
      </c>
      <c r="E18" s="4" t="str">
        <f>TEXT(Table256[[#This Row],[Date]],"mmmm")</f>
        <v>October</v>
      </c>
      <c r="F18" s="4" t="s">
        <v>17</v>
      </c>
      <c r="G18" s="4">
        <v>1317.94</v>
      </c>
      <c r="H18" s="4" t="s">
        <v>16</v>
      </c>
      <c r="I18" s="4">
        <f>Table256[[#This Row],[INCOME]]-Table256[[#This Row],[Amount]]</f>
        <v>18682.060000000001</v>
      </c>
      <c r="J18" s="4">
        <v>20000</v>
      </c>
      <c r="K18" s="4" t="s">
        <v>18</v>
      </c>
    </row>
    <row r="19" spans="4:11" x14ac:dyDescent="0.3">
      <c r="D19" s="3">
        <v>45679</v>
      </c>
      <c r="E19" s="4" t="str">
        <f>TEXT(Table256[[#This Row],[Date]],"mmmm")</f>
        <v>January</v>
      </c>
      <c r="F19" s="4" t="s">
        <v>19</v>
      </c>
      <c r="G19" s="4">
        <v>1351.12</v>
      </c>
      <c r="H19" s="4" t="s">
        <v>11</v>
      </c>
      <c r="I19" s="4">
        <f>Table256[[#This Row],[INCOME]]-Table256[[#This Row],[Amount]]</f>
        <v>18648.88</v>
      </c>
      <c r="J19" s="4">
        <v>20000</v>
      </c>
      <c r="K19" s="4" t="s">
        <v>20</v>
      </c>
    </row>
    <row r="20" spans="4:11" x14ac:dyDescent="0.3">
      <c r="D20" s="3">
        <v>45955</v>
      </c>
      <c r="E20" s="4" t="str">
        <f>TEXT(Table256[[#This Row],[Date]],"mmmm")</f>
        <v>October</v>
      </c>
      <c r="F20" s="4" t="s">
        <v>25</v>
      </c>
      <c r="G20" s="4">
        <v>6577.23</v>
      </c>
      <c r="H20" s="4" t="s">
        <v>11</v>
      </c>
      <c r="I20" s="4">
        <f>Table256[[#This Row],[INCOME]]-Table256[[#This Row],[Amount]]</f>
        <v>13422.77</v>
      </c>
      <c r="J20" s="4">
        <v>20000</v>
      </c>
      <c r="K20" s="4" t="s">
        <v>26</v>
      </c>
    </row>
    <row r="21" spans="4:11" x14ac:dyDescent="0.3">
      <c r="D21" s="3">
        <v>45885</v>
      </c>
      <c r="E21" s="4" t="str">
        <f>TEXT(Table256[[#This Row],[Date]],"mmmm")</f>
        <v>August</v>
      </c>
      <c r="F21" s="4" t="s">
        <v>21</v>
      </c>
      <c r="G21" s="4">
        <v>8031.81</v>
      </c>
      <c r="H21" s="4" t="s">
        <v>14</v>
      </c>
      <c r="I21" s="4">
        <f>Table256[[#This Row],[INCOME]]-Table256[[#This Row],[Amount]]</f>
        <v>11968.189999999999</v>
      </c>
      <c r="J21" s="4">
        <v>20000</v>
      </c>
      <c r="K21" s="4" t="s">
        <v>22</v>
      </c>
    </row>
    <row r="22" spans="4:11" x14ac:dyDescent="0.3">
      <c r="D22" s="3">
        <v>45951</v>
      </c>
      <c r="E22" s="4" t="str">
        <f>TEXT(Table256[[#This Row],[Date]],"mmmm")</f>
        <v>October</v>
      </c>
      <c r="F22" s="4" t="s">
        <v>7</v>
      </c>
      <c r="G22" s="4">
        <v>6885.97</v>
      </c>
      <c r="H22" s="4" t="s">
        <v>16</v>
      </c>
      <c r="I22" s="4">
        <f>Table256[[#This Row],[INCOME]]-Table256[[#This Row],[Amount]]</f>
        <v>13114.029999999999</v>
      </c>
      <c r="J22" s="4">
        <v>20000</v>
      </c>
      <c r="K22" s="4" t="s">
        <v>9</v>
      </c>
    </row>
    <row r="23" spans="4:11" x14ac:dyDescent="0.3">
      <c r="D23" s="3">
        <v>45994</v>
      </c>
      <c r="E23" s="4" t="str">
        <f>TEXT(Table256[[#This Row],[Date]],"mmmm")</f>
        <v>December</v>
      </c>
      <c r="F23" s="4" t="s">
        <v>25</v>
      </c>
      <c r="G23" s="4">
        <v>6204.01</v>
      </c>
      <c r="H23" s="4" t="s">
        <v>11</v>
      </c>
      <c r="I23" s="4">
        <f>Table256[[#This Row],[INCOME]]-Table256[[#This Row],[Amount]]</f>
        <v>23795.989999999998</v>
      </c>
      <c r="J23" s="4">
        <v>30000</v>
      </c>
      <c r="K23" s="4" t="s">
        <v>26</v>
      </c>
    </row>
    <row r="24" spans="4:11" x14ac:dyDescent="0.3">
      <c r="D24" s="3">
        <v>45912</v>
      </c>
      <c r="E24" s="4" t="str">
        <f>TEXT(Table256[[#This Row],[Date]],"mmmm")</f>
        <v>September</v>
      </c>
      <c r="F24" s="4" t="s">
        <v>23</v>
      </c>
      <c r="G24" s="4">
        <v>3338.18</v>
      </c>
      <c r="H24" s="4" t="s">
        <v>11</v>
      </c>
      <c r="I24" s="4">
        <f>Table256[[#This Row],[INCOME]]-Table256[[#This Row],[Amount]]</f>
        <v>26661.82</v>
      </c>
      <c r="J24" s="4">
        <v>30000</v>
      </c>
      <c r="K24" s="4" t="s">
        <v>24</v>
      </c>
    </row>
    <row r="25" spans="4:11" x14ac:dyDescent="0.3">
      <c r="D25" s="3">
        <v>45736</v>
      </c>
      <c r="E25" s="4" t="str">
        <f>TEXT(Table256[[#This Row],[Date]],"mmmm")</f>
        <v>March</v>
      </c>
      <c r="F25" s="4" t="s">
        <v>19</v>
      </c>
      <c r="G25" s="4">
        <v>3937.13</v>
      </c>
      <c r="H25" s="4" t="s">
        <v>8</v>
      </c>
      <c r="I25" s="4">
        <f>Table256[[#This Row],[INCOME]]-Table256[[#This Row],[Amount]]</f>
        <v>26062.87</v>
      </c>
      <c r="J25" s="4">
        <v>30000</v>
      </c>
      <c r="K25" s="4" t="s">
        <v>20</v>
      </c>
    </row>
    <row r="26" spans="4:11" x14ac:dyDescent="0.3">
      <c r="D26" s="3">
        <v>45907</v>
      </c>
      <c r="E26" s="4" t="str">
        <f>TEXT(Table256[[#This Row],[Date]],"mmmm")</f>
        <v>September</v>
      </c>
      <c r="F26" s="4" t="s">
        <v>7</v>
      </c>
      <c r="G26" s="4">
        <v>7320.5</v>
      </c>
      <c r="H26" s="4" t="s">
        <v>11</v>
      </c>
      <c r="I26" s="4">
        <f>Table256[[#This Row],[INCOME]]-Table256[[#This Row],[Amount]]</f>
        <v>22679.5</v>
      </c>
      <c r="J26" s="4">
        <v>30000</v>
      </c>
      <c r="K26" s="4" t="s">
        <v>9</v>
      </c>
    </row>
    <row r="27" spans="4:11" x14ac:dyDescent="0.3">
      <c r="D27" s="3">
        <v>45897</v>
      </c>
      <c r="E27" s="4" t="str">
        <f>TEXT(Table256[[#This Row],[Date]],"mmmm")</f>
        <v>August</v>
      </c>
      <c r="F27" s="4" t="s">
        <v>10</v>
      </c>
      <c r="G27" s="4">
        <v>4443.0600000000004</v>
      </c>
      <c r="H27" s="4" t="s">
        <v>11</v>
      </c>
      <c r="I27" s="4">
        <f>Table256[[#This Row],[INCOME]]-Table256[[#This Row],[Amount]]</f>
        <v>25556.94</v>
      </c>
      <c r="J27" s="4">
        <v>30000</v>
      </c>
      <c r="K27" s="4" t="s">
        <v>12</v>
      </c>
    </row>
    <row r="28" spans="4:11" x14ac:dyDescent="0.3">
      <c r="D28" s="3">
        <v>45980</v>
      </c>
      <c r="E28" s="4" t="str">
        <f>TEXT(Table256[[#This Row],[Date]],"mmmm")</f>
        <v>November</v>
      </c>
      <c r="F28" s="4" t="s">
        <v>23</v>
      </c>
      <c r="G28" s="4">
        <v>3940.86</v>
      </c>
      <c r="H28" s="4" t="s">
        <v>8</v>
      </c>
      <c r="I28" s="4">
        <f>Table256[[#This Row],[INCOME]]-Table256[[#This Row],[Amount]]</f>
        <v>26059.14</v>
      </c>
      <c r="J28" s="4">
        <v>30000</v>
      </c>
      <c r="K28" s="4" t="s">
        <v>24</v>
      </c>
    </row>
    <row r="29" spans="4:11" x14ac:dyDescent="0.3">
      <c r="D29" s="3">
        <v>45891</v>
      </c>
      <c r="E29" s="4" t="str">
        <f>TEXT(Table256[[#This Row],[Date]],"mmmm")</f>
        <v>August</v>
      </c>
      <c r="F29" s="4" t="s">
        <v>23</v>
      </c>
      <c r="G29" s="4">
        <v>8501.09</v>
      </c>
      <c r="H29" s="4" t="s">
        <v>8</v>
      </c>
      <c r="I29" s="4">
        <f>Table256[[#This Row],[INCOME]]-Table256[[#This Row],[Amount]]</f>
        <v>11498.91</v>
      </c>
      <c r="J29" s="4">
        <v>20000</v>
      </c>
      <c r="K29" s="4" t="s">
        <v>24</v>
      </c>
    </row>
    <row r="30" spans="4:11" x14ac:dyDescent="0.3">
      <c r="D30" s="3">
        <v>45665</v>
      </c>
      <c r="E30" s="4" t="str">
        <f>TEXT(Table256[[#This Row],[Date]],"mmmm")</f>
        <v>January</v>
      </c>
      <c r="F30" s="4" t="s">
        <v>25</v>
      </c>
      <c r="G30" s="4">
        <v>4525.54</v>
      </c>
      <c r="H30" s="4" t="s">
        <v>8</v>
      </c>
      <c r="I30" s="4">
        <f>Table256[[#This Row],[INCOME]]-Table256[[#This Row],[Amount]]</f>
        <v>15474.46</v>
      </c>
      <c r="J30" s="4">
        <v>20000</v>
      </c>
      <c r="K30" s="4" t="s">
        <v>26</v>
      </c>
    </row>
    <row r="31" spans="4:11" x14ac:dyDescent="0.3">
      <c r="D31" s="3">
        <v>45865</v>
      </c>
      <c r="E31" s="4" t="str">
        <f>TEXT(Table256[[#This Row],[Date]],"mmmm")</f>
        <v>July</v>
      </c>
      <c r="F31" s="4" t="s">
        <v>21</v>
      </c>
      <c r="G31" s="4">
        <v>7256.73</v>
      </c>
      <c r="H31" s="4" t="s">
        <v>11</v>
      </c>
      <c r="I31" s="4">
        <f>Table256[[#This Row],[INCOME]]-Table256[[#This Row],[Amount]]</f>
        <v>12743.27</v>
      </c>
      <c r="J31" s="4">
        <v>20000</v>
      </c>
      <c r="K31" s="4" t="s">
        <v>22</v>
      </c>
    </row>
    <row r="32" spans="4:11" x14ac:dyDescent="0.3">
      <c r="D32" s="3">
        <v>45863</v>
      </c>
      <c r="E32" s="4" t="str">
        <f>TEXT(Table256[[#This Row],[Date]],"mmmm")</f>
        <v>July</v>
      </c>
      <c r="F32" s="4" t="s">
        <v>13</v>
      </c>
      <c r="G32" s="4">
        <v>284.86</v>
      </c>
      <c r="H32" s="4" t="s">
        <v>14</v>
      </c>
      <c r="I32" s="4">
        <f>Table256[[#This Row],[INCOME]]-Table256[[#This Row],[Amount]]</f>
        <v>19715.14</v>
      </c>
      <c r="J32" s="4">
        <v>20000</v>
      </c>
      <c r="K32" s="4" t="s">
        <v>15</v>
      </c>
    </row>
    <row r="33" spans="4:11" x14ac:dyDescent="0.3">
      <c r="D33" s="3">
        <v>46016</v>
      </c>
      <c r="E33" s="4" t="str">
        <f>TEXT(Table256[[#This Row],[Date]],"mmmm")</f>
        <v>December</v>
      </c>
      <c r="F33" s="4" t="s">
        <v>19</v>
      </c>
      <c r="G33" s="4">
        <v>2851.87</v>
      </c>
      <c r="H33" s="4" t="s">
        <v>16</v>
      </c>
      <c r="I33" s="4">
        <f>Table256[[#This Row],[INCOME]]-Table256[[#This Row],[Amount]]</f>
        <v>17148.13</v>
      </c>
      <c r="J33" s="4">
        <v>20000</v>
      </c>
      <c r="K33" s="4" t="s">
        <v>20</v>
      </c>
    </row>
    <row r="34" spans="4:11" x14ac:dyDescent="0.3">
      <c r="D34" s="3">
        <v>45847</v>
      </c>
      <c r="E34" s="4" t="str">
        <f>TEXT(Table256[[#This Row],[Date]],"mmmm")</f>
        <v>July</v>
      </c>
      <c r="F34" s="4" t="s">
        <v>7</v>
      </c>
      <c r="G34" s="4">
        <v>7590.27</v>
      </c>
      <c r="H34" s="4" t="s">
        <v>8</v>
      </c>
      <c r="I34" s="4">
        <f>Table256[[#This Row],[INCOME]]-Table256[[#This Row],[Amount]]</f>
        <v>12409.73</v>
      </c>
      <c r="J34" s="4">
        <v>20000</v>
      </c>
      <c r="K34" s="4" t="s">
        <v>9</v>
      </c>
    </row>
    <row r="35" spans="4:11" x14ac:dyDescent="0.3">
      <c r="D35" s="3">
        <v>45905</v>
      </c>
      <c r="E35" s="4" t="str">
        <f>TEXT(Table256[[#This Row],[Date]],"mmmm")</f>
        <v>September</v>
      </c>
      <c r="F35" s="4" t="s">
        <v>21</v>
      </c>
      <c r="G35" s="4">
        <v>3973.39</v>
      </c>
      <c r="H35" s="4" t="s">
        <v>14</v>
      </c>
      <c r="I35" s="4">
        <f>Table256[[#This Row],[INCOME]]-Table256[[#This Row],[Amount]]</f>
        <v>28026.61</v>
      </c>
      <c r="J35" s="4">
        <v>32000</v>
      </c>
      <c r="K35" s="4" t="s">
        <v>22</v>
      </c>
    </row>
    <row r="36" spans="4:11" x14ac:dyDescent="0.3">
      <c r="D36" s="3">
        <v>45751</v>
      </c>
      <c r="E36" s="4" t="str">
        <f>TEXT(Table256[[#This Row],[Date]],"mmmm")</f>
        <v>April</v>
      </c>
      <c r="F36" s="4" t="s">
        <v>21</v>
      </c>
      <c r="G36" s="4">
        <v>1374.64</v>
      </c>
      <c r="H36" s="4" t="s">
        <v>11</v>
      </c>
      <c r="I36" s="4">
        <f>Table256[[#This Row],[INCOME]]-Table256[[#This Row],[Amount]]</f>
        <v>30625.360000000001</v>
      </c>
      <c r="J36" s="4">
        <v>32000</v>
      </c>
      <c r="K36" s="4" t="s">
        <v>22</v>
      </c>
    </row>
    <row r="37" spans="4:11" x14ac:dyDescent="0.3">
      <c r="D37" s="3">
        <v>45847</v>
      </c>
      <c r="E37" s="4" t="str">
        <f>TEXT(Table256[[#This Row],[Date]],"mmmm")</f>
        <v>July</v>
      </c>
      <c r="F37" s="4" t="s">
        <v>13</v>
      </c>
      <c r="G37" s="4">
        <v>7826.26</v>
      </c>
      <c r="H37" s="4" t="s">
        <v>11</v>
      </c>
      <c r="I37" s="4">
        <f>Table256[[#This Row],[INCOME]]-Table256[[#This Row],[Amount]]</f>
        <v>24173.739999999998</v>
      </c>
      <c r="J37" s="4">
        <v>32000</v>
      </c>
      <c r="K37" s="4" t="s">
        <v>15</v>
      </c>
    </row>
    <row r="38" spans="4:11" x14ac:dyDescent="0.3">
      <c r="D38" s="3">
        <v>45875</v>
      </c>
      <c r="E38" s="4" t="str">
        <f>TEXT(Table256[[#This Row],[Date]],"mmmm")</f>
        <v>August</v>
      </c>
      <c r="F38" s="4" t="s">
        <v>23</v>
      </c>
      <c r="G38" s="4">
        <v>3254.61</v>
      </c>
      <c r="H38" s="4" t="s">
        <v>11</v>
      </c>
      <c r="I38" s="4">
        <f>Table256[[#This Row],[INCOME]]-Table256[[#This Row],[Amount]]</f>
        <v>28745.39</v>
      </c>
      <c r="J38" s="4">
        <v>32000</v>
      </c>
      <c r="K38" s="4" t="s">
        <v>24</v>
      </c>
    </row>
    <row r="39" spans="4:11" x14ac:dyDescent="0.3">
      <c r="D39" s="3">
        <v>45866</v>
      </c>
      <c r="E39" s="4" t="str">
        <f>TEXT(Table256[[#This Row],[Date]],"mmmm")</f>
        <v>July</v>
      </c>
      <c r="F39" s="4" t="s">
        <v>25</v>
      </c>
      <c r="G39" s="4">
        <v>4813.76</v>
      </c>
      <c r="H39" s="4" t="s">
        <v>16</v>
      </c>
      <c r="I39" s="4">
        <f>Table256[[#This Row],[INCOME]]-Table256[[#This Row],[Amount]]</f>
        <v>27186.239999999998</v>
      </c>
      <c r="J39" s="4">
        <v>32000</v>
      </c>
      <c r="K39" s="4" t="s">
        <v>26</v>
      </c>
    </row>
    <row r="40" spans="4:11" x14ac:dyDescent="0.3">
      <c r="D40" s="3">
        <v>45798</v>
      </c>
      <c r="E40" s="4" t="str">
        <f>TEXT(Table256[[#This Row],[Date]],"mmmm")</f>
        <v>May</v>
      </c>
      <c r="F40" s="4" t="s">
        <v>13</v>
      </c>
      <c r="G40" s="4">
        <v>1038.72</v>
      </c>
      <c r="H40" s="4" t="s">
        <v>14</v>
      </c>
      <c r="I40" s="4">
        <f>Table256[[#This Row],[INCOME]]-Table256[[#This Row],[Amount]]</f>
        <v>30961.279999999999</v>
      </c>
      <c r="J40" s="4">
        <v>32000</v>
      </c>
      <c r="K40" s="4" t="s">
        <v>15</v>
      </c>
    </row>
    <row r="41" spans="4:11" x14ac:dyDescent="0.3">
      <c r="D41" s="3">
        <v>45917</v>
      </c>
      <c r="E41" s="4" t="str">
        <f>TEXT(Table256[[#This Row],[Date]],"mmmm")</f>
        <v>September</v>
      </c>
      <c r="F41" s="4" t="s">
        <v>25</v>
      </c>
      <c r="G41" s="4">
        <v>4295.6000000000004</v>
      </c>
      <c r="H41" s="4" t="s">
        <v>11</v>
      </c>
      <c r="I41" s="4">
        <f>Table256[[#This Row],[INCOME]]-Table256[[#This Row],[Amount]]</f>
        <v>15704.4</v>
      </c>
      <c r="J41" s="4">
        <v>20000</v>
      </c>
      <c r="K41" s="4" t="s">
        <v>26</v>
      </c>
    </row>
    <row r="42" spans="4:11" x14ac:dyDescent="0.3">
      <c r="D42" s="3">
        <v>45922</v>
      </c>
      <c r="E42" s="4" t="str">
        <f>TEXT(Table256[[#This Row],[Date]],"mmmm")</f>
        <v>September</v>
      </c>
      <c r="F42" s="4" t="s">
        <v>25</v>
      </c>
      <c r="G42" s="4">
        <v>1922.13</v>
      </c>
      <c r="H42" s="4" t="s">
        <v>11</v>
      </c>
      <c r="I42" s="4">
        <f>Table256[[#This Row],[INCOME]]-Table256[[#This Row],[Amount]]</f>
        <v>18077.87</v>
      </c>
      <c r="J42" s="4">
        <v>20000</v>
      </c>
      <c r="K42" s="4" t="s">
        <v>26</v>
      </c>
    </row>
    <row r="43" spans="4:11" x14ac:dyDescent="0.3">
      <c r="D43" s="3">
        <v>45782</v>
      </c>
      <c r="E43" s="4" t="str">
        <f>TEXT(Table256[[#This Row],[Date]],"mmmm")</f>
        <v>May</v>
      </c>
      <c r="F43" s="4" t="s">
        <v>21</v>
      </c>
      <c r="G43" s="4">
        <v>4048.55</v>
      </c>
      <c r="H43" s="4" t="s">
        <v>14</v>
      </c>
      <c r="I43" s="4">
        <f>Table256[[#This Row],[INCOME]]-Table256[[#This Row],[Amount]]</f>
        <v>15951.45</v>
      </c>
      <c r="J43" s="4">
        <v>20000</v>
      </c>
      <c r="K43" s="4" t="s">
        <v>22</v>
      </c>
    </row>
    <row r="44" spans="4:11" x14ac:dyDescent="0.3">
      <c r="D44" s="3">
        <v>45879</v>
      </c>
      <c r="E44" s="4" t="str">
        <f>TEXT(Table256[[#This Row],[Date]],"mmmm")</f>
        <v>August</v>
      </c>
      <c r="F44" s="4" t="s">
        <v>25</v>
      </c>
      <c r="G44" s="4">
        <v>2306.52</v>
      </c>
      <c r="H44" s="4" t="s">
        <v>16</v>
      </c>
      <c r="I44" s="4">
        <f>Table256[[#This Row],[INCOME]]-Table256[[#This Row],[Amount]]</f>
        <v>17693.48</v>
      </c>
      <c r="J44" s="4">
        <v>20000</v>
      </c>
      <c r="K44" s="4" t="s">
        <v>26</v>
      </c>
    </row>
    <row r="45" spans="4:11" x14ac:dyDescent="0.3">
      <c r="D45" s="3">
        <v>45763</v>
      </c>
      <c r="E45" s="4" t="str">
        <f>TEXT(Table256[[#This Row],[Date]],"mmmm")</f>
        <v>April</v>
      </c>
      <c r="F45" s="4" t="s">
        <v>21</v>
      </c>
      <c r="G45" s="4">
        <v>3819.82</v>
      </c>
      <c r="H45" s="4" t="s">
        <v>11</v>
      </c>
      <c r="I45" s="4">
        <f>Table256[[#This Row],[INCOME]]-Table256[[#This Row],[Amount]]</f>
        <v>16180.18</v>
      </c>
      <c r="J45" s="4">
        <v>20000</v>
      </c>
      <c r="K45" s="4" t="s">
        <v>22</v>
      </c>
    </row>
    <row r="46" spans="4:11" x14ac:dyDescent="0.3">
      <c r="D46" s="3">
        <v>45750</v>
      </c>
      <c r="E46" s="4" t="str">
        <f>TEXT(Table256[[#This Row],[Date]],"mmmm")</f>
        <v>April</v>
      </c>
      <c r="F46" s="4" t="s">
        <v>19</v>
      </c>
      <c r="G46" s="4">
        <v>2092.27</v>
      </c>
      <c r="H46" s="4" t="s">
        <v>11</v>
      </c>
      <c r="I46" s="4">
        <f>Table256[[#This Row],[INCOME]]-Table256[[#This Row],[Amount]]</f>
        <v>19907.73</v>
      </c>
      <c r="J46" s="4">
        <v>22000</v>
      </c>
      <c r="K46" s="4" t="s">
        <v>20</v>
      </c>
    </row>
    <row r="47" spans="4:11" x14ac:dyDescent="0.3">
      <c r="D47" s="3">
        <v>45819</v>
      </c>
      <c r="E47" s="4" t="str">
        <f>TEXT(Table256[[#This Row],[Date]],"mmmm")</f>
        <v>June</v>
      </c>
      <c r="F47" s="4" t="s">
        <v>13</v>
      </c>
      <c r="G47" s="4">
        <v>3014.9</v>
      </c>
      <c r="H47" s="4" t="s">
        <v>14</v>
      </c>
      <c r="I47" s="4">
        <f>Table256[[#This Row],[INCOME]]-Table256[[#This Row],[Amount]]</f>
        <v>18985.099999999999</v>
      </c>
      <c r="J47" s="4">
        <v>22000</v>
      </c>
      <c r="K47" s="4" t="s">
        <v>15</v>
      </c>
    </row>
    <row r="48" spans="4:11" x14ac:dyDescent="0.3">
      <c r="D48" s="3">
        <v>45756</v>
      </c>
      <c r="E48" s="4" t="str">
        <f>TEXT(Table256[[#This Row],[Date]],"mmmm")</f>
        <v>April</v>
      </c>
      <c r="F48" s="4" t="s">
        <v>19</v>
      </c>
      <c r="G48" s="4">
        <v>6247.56</v>
      </c>
      <c r="H48" s="4" t="s">
        <v>8</v>
      </c>
      <c r="I48" s="4">
        <f>Table256[[#This Row],[INCOME]]-Table256[[#This Row],[Amount]]</f>
        <v>15752.439999999999</v>
      </c>
      <c r="J48" s="4">
        <v>22000</v>
      </c>
      <c r="K48" s="4" t="s">
        <v>20</v>
      </c>
    </row>
    <row r="49" spans="4:11" x14ac:dyDescent="0.3">
      <c r="D49" s="3">
        <v>45994</v>
      </c>
      <c r="E49" s="4" t="str">
        <f>TEXT(Table256[[#This Row],[Date]],"mmmm")</f>
        <v>December</v>
      </c>
      <c r="F49" s="4" t="s">
        <v>10</v>
      </c>
      <c r="G49" s="4">
        <v>6905.27</v>
      </c>
      <c r="H49" s="4" t="s">
        <v>14</v>
      </c>
      <c r="I49" s="4">
        <f>Table256[[#This Row],[INCOME]]-Table256[[#This Row],[Amount]]</f>
        <v>15094.73</v>
      </c>
      <c r="J49" s="4">
        <v>22000</v>
      </c>
      <c r="K49" s="4" t="s">
        <v>12</v>
      </c>
    </row>
    <row r="50" spans="4:11" x14ac:dyDescent="0.3">
      <c r="D50" s="3">
        <v>45987</v>
      </c>
      <c r="E50" s="4" t="str">
        <f>TEXT(Table256[[#This Row],[Date]],"mmmm")</f>
        <v>November</v>
      </c>
      <c r="F50" s="4" t="s">
        <v>10</v>
      </c>
      <c r="G50" s="4">
        <v>2542.84</v>
      </c>
      <c r="H50" s="4" t="s">
        <v>14</v>
      </c>
      <c r="I50" s="4">
        <f>Table256[[#This Row],[INCOME]]-Table256[[#This Row],[Amount]]</f>
        <v>19457.16</v>
      </c>
      <c r="J50" s="4">
        <v>22000</v>
      </c>
      <c r="K50" s="4" t="s">
        <v>12</v>
      </c>
    </row>
    <row r="51" spans="4:11" x14ac:dyDescent="0.3">
      <c r="D51" s="3">
        <v>45812</v>
      </c>
      <c r="E51" s="4" t="str">
        <f>TEXT(Table256[[#This Row],[Date]],"mmmm")</f>
        <v>June</v>
      </c>
      <c r="F51" s="4" t="s">
        <v>21</v>
      </c>
      <c r="G51" s="4">
        <v>4551.25</v>
      </c>
      <c r="H51" s="4" t="s">
        <v>14</v>
      </c>
      <c r="I51" s="4">
        <f>Table256[[#This Row],[INCOME]]-Table256[[#This Row],[Amount]]</f>
        <v>17448.75</v>
      </c>
      <c r="J51" s="4">
        <v>22000</v>
      </c>
      <c r="K51" s="4" t="s">
        <v>22</v>
      </c>
    </row>
    <row r="52" spans="4:11" x14ac:dyDescent="0.3">
      <c r="D52" s="3">
        <v>45666</v>
      </c>
      <c r="E52" s="4" t="str">
        <f>TEXT(Table256[[#This Row],[Date]],"mmmm")</f>
        <v>January</v>
      </c>
      <c r="F52" s="4" t="s">
        <v>13</v>
      </c>
      <c r="G52" s="4">
        <v>4328.32</v>
      </c>
      <c r="H52" s="4" t="s">
        <v>11</v>
      </c>
      <c r="I52" s="4">
        <f>Table256[[#This Row],[INCOME]]-Table256[[#This Row],[Amount]]</f>
        <v>17671.68</v>
      </c>
      <c r="J52" s="4">
        <v>22000</v>
      </c>
      <c r="K52" s="4" t="s">
        <v>15</v>
      </c>
    </row>
    <row r="53" spans="4:11" x14ac:dyDescent="0.3">
      <c r="D53" s="3">
        <v>45769</v>
      </c>
      <c r="E53" s="4" t="str">
        <f>TEXT(Table256[[#This Row],[Date]],"mmmm")</f>
        <v>April</v>
      </c>
      <c r="F53" s="4" t="s">
        <v>19</v>
      </c>
      <c r="G53" s="4">
        <v>7039.64</v>
      </c>
      <c r="H53" s="4" t="s">
        <v>11</v>
      </c>
      <c r="I53" s="4">
        <f>Table256[[#This Row],[INCOME]]-Table256[[#This Row],[Amount]]</f>
        <v>12960.36</v>
      </c>
      <c r="J53" s="4">
        <v>20000</v>
      </c>
      <c r="K53" s="4" t="s">
        <v>20</v>
      </c>
    </row>
    <row r="54" spans="4:11" x14ac:dyDescent="0.3">
      <c r="D54" s="3">
        <v>45708</v>
      </c>
      <c r="E54" s="4" t="str">
        <f>TEXT(Table256[[#This Row],[Date]],"mmmm")</f>
        <v>February</v>
      </c>
      <c r="F54" s="4" t="s">
        <v>10</v>
      </c>
      <c r="G54" s="4">
        <v>6286.65</v>
      </c>
      <c r="H54" s="4" t="s">
        <v>8</v>
      </c>
      <c r="I54" s="4">
        <f>Table256[[#This Row],[INCOME]]-Table256[[#This Row],[Amount]]</f>
        <v>13713.35</v>
      </c>
      <c r="J54" s="4">
        <v>20000</v>
      </c>
      <c r="K54" s="4" t="s">
        <v>12</v>
      </c>
    </row>
    <row r="55" spans="4:11" x14ac:dyDescent="0.3">
      <c r="D55" s="3">
        <v>46013</v>
      </c>
      <c r="E55" s="4" t="str">
        <f>TEXT(Table256[[#This Row],[Date]],"mmmm")</f>
        <v>December</v>
      </c>
      <c r="F55" s="4" t="s">
        <v>25</v>
      </c>
      <c r="G55" s="4">
        <v>2874.32</v>
      </c>
      <c r="H55" s="4" t="s">
        <v>16</v>
      </c>
      <c r="I55" s="4">
        <f>Table256[[#This Row],[INCOME]]-Table256[[#This Row],[Amount]]</f>
        <v>17125.68</v>
      </c>
      <c r="J55" s="4">
        <v>20000</v>
      </c>
      <c r="K55" s="4" t="s">
        <v>26</v>
      </c>
    </row>
    <row r="56" spans="4:11" x14ac:dyDescent="0.3">
      <c r="D56" s="3">
        <v>45700</v>
      </c>
      <c r="E56" s="4" t="str">
        <f>TEXT(Table256[[#This Row],[Date]],"mmmm")</f>
        <v>February</v>
      </c>
      <c r="F56" s="4" t="s">
        <v>27</v>
      </c>
      <c r="G56" s="4">
        <v>6650.72</v>
      </c>
      <c r="H56" s="4" t="s">
        <v>16</v>
      </c>
      <c r="I56" s="4">
        <f>Table256[[#This Row],[INCOME]]-Table256[[#This Row],[Amount]]</f>
        <v>13349.279999999999</v>
      </c>
      <c r="J56" s="4">
        <v>20000</v>
      </c>
      <c r="K56" s="4" t="s">
        <v>28</v>
      </c>
    </row>
    <row r="57" spans="4:11" x14ac:dyDescent="0.3">
      <c r="D57" s="3">
        <v>45923</v>
      </c>
      <c r="E57" s="4" t="str">
        <f>TEXT(Table256[[#This Row],[Date]],"mmmm")</f>
        <v>September</v>
      </c>
      <c r="F57" s="4" t="s">
        <v>19</v>
      </c>
      <c r="G57" s="4">
        <v>3727.04</v>
      </c>
      <c r="H57" s="4" t="s">
        <v>16</v>
      </c>
      <c r="I57" s="4">
        <f>Table256[[#This Row],[INCOME]]-Table256[[#This Row],[Amount]]</f>
        <v>16272.96</v>
      </c>
      <c r="J57" s="4">
        <v>20000</v>
      </c>
      <c r="K57" s="4" t="s">
        <v>20</v>
      </c>
    </row>
    <row r="58" spans="4:11" x14ac:dyDescent="0.3">
      <c r="D58" s="3">
        <v>45857</v>
      </c>
      <c r="E58" s="4" t="str">
        <f>TEXT(Table256[[#This Row],[Date]],"mmmm")</f>
        <v>July</v>
      </c>
      <c r="F58" s="4" t="s">
        <v>10</v>
      </c>
      <c r="G58" s="4">
        <v>3377.26</v>
      </c>
      <c r="H58" s="4" t="s">
        <v>11</v>
      </c>
      <c r="I58" s="4">
        <f>Table256[[#This Row],[INCOME]]-Table256[[#This Row],[Amount]]</f>
        <v>16622.739999999998</v>
      </c>
      <c r="J58" s="4">
        <v>20000</v>
      </c>
      <c r="K58" s="4" t="s">
        <v>12</v>
      </c>
    </row>
    <row r="59" spans="4:11" x14ac:dyDescent="0.3">
      <c r="D59" s="3">
        <v>45932</v>
      </c>
      <c r="E59" s="4" t="str">
        <f>TEXT(Table256[[#This Row],[Date]],"mmmm")</f>
        <v>October</v>
      </c>
      <c r="F59" s="4" t="s">
        <v>23</v>
      </c>
      <c r="G59" s="4">
        <v>4326.55</v>
      </c>
      <c r="H59" s="4" t="s">
        <v>14</v>
      </c>
      <c r="I59" s="4">
        <f>Table256[[#This Row],[INCOME]]-Table256[[#This Row],[Amount]]</f>
        <v>15673.45</v>
      </c>
      <c r="J59" s="4">
        <v>20000</v>
      </c>
      <c r="K59" s="4" t="s">
        <v>24</v>
      </c>
    </row>
    <row r="60" spans="4:11" x14ac:dyDescent="0.3">
      <c r="D60" s="3">
        <v>45824</v>
      </c>
      <c r="E60" s="4" t="str">
        <f>TEXT(Table256[[#This Row],[Date]],"mmmm")</f>
        <v>June</v>
      </c>
      <c r="F60" s="4" t="s">
        <v>23</v>
      </c>
      <c r="G60" s="4">
        <v>3217.43</v>
      </c>
      <c r="H60" s="4" t="s">
        <v>16</v>
      </c>
      <c r="I60" s="4">
        <f>Table256[[#This Row],[INCOME]]-Table256[[#This Row],[Amount]]</f>
        <v>16782.57</v>
      </c>
      <c r="J60" s="4">
        <v>20000</v>
      </c>
      <c r="K60" s="4" t="s">
        <v>24</v>
      </c>
    </row>
    <row r="61" spans="4:11" x14ac:dyDescent="0.3">
      <c r="D61" s="3">
        <v>45780</v>
      </c>
      <c r="E61" s="4" t="str">
        <f>TEXT(Table256[[#This Row],[Date]],"mmmm")</f>
        <v>May</v>
      </c>
      <c r="F61" s="4" t="s">
        <v>10</v>
      </c>
      <c r="G61" s="4">
        <v>8818.66</v>
      </c>
      <c r="H61" s="4" t="s">
        <v>16</v>
      </c>
      <c r="I61" s="4">
        <f>Table256[[#This Row],[INCOME]]-Table256[[#This Row],[Amount]]</f>
        <v>11181.34</v>
      </c>
      <c r="J61" s="4">
        <v>20000</v>
      </c>
      <c r="K61" s="4" t="s">
        <v>12</v>
      </c>
    </row>
    <row r="62" spans="4:11" x14ac:dyDescent="0.3">
      <c r="D62" s="3">
        <v>45823</v>
      </c>
      <c r="E62" s="4" t="str">
        <f>TEXT(Table256[[#This Row],[Date]],"mmmm")</f>
        <v>June</v>
      </c>
      <c r="F62" s="4" t="s">
        <v>23</v>
      </c>
      <c r="G62" s="4">
        <v>7997.92</v>
      </c>
      <c r="H62" s="4" t="s">
        <v>16</v>
      </c>
      <c r="I62" s="4">
        <f>Table256[[#This Row],[INCOME]]-Table256[[#This Row],[Amount]]</f>
        <v>23002.080000000002</v>
      </c>
      <c r="J62" s="4">
        <v>31000</v>
      </c>
      <c r="K62" s="4" t="s">
        <v>24</v>
      </c>
    </row>
    <row r="63" spans="4:11" x14ac:dyDescent="0.3">
      <c r="D63" s="3">
        <v>45823</v>
      </c>
      <c r="E63" s="4" t="str">
        <f>TEXT(Table256[[#This Row],[Date]],"mmmm")</f>
        <v>June</v>
      </c>
      <c r="F63" s="4" t="s">
        <v>19</v>
      </c>
      <c r="G63" s="4">
        <v>6289.69</v>
      </c>
      <c r="H63" s="4" t="s">
        <v>14</v>
      </c>
      <c r="I63" s="4">
        <f>Table256[[#This Row],[INCOME]]-Table256[[#This Row],[Amount]]</f>
        <v>24710.31</v>
      </c>
      <c r="J63" s="4">
        <v>31000</v>
      </c>
      <c r="K63" s="4" t="s">
        <v>20</v>
      </c>
    </row>
    <row r="64" spans="4:11" x14ac:dyDescent="0.3">
      <c r="D64" s="3">
        <v>45755</v>
      </c>
      <c r="E64" s="4" t="str">
        <f>TEXT(Table256[[#This Row],[Date]],"mmmm")</f>
        <v>April</v>
      </c>
      <c r="F64" s="4" t="s">
        <v>13</v>
      </c>
      <c r="G64" s="4">
        <v>754.72</v>
      </c>
      <c r="H64" s="4" t="s">
        <v>14</v>
      </c>
      <c r="I64" s="4">
        <f>Table256[[#This Row],[INCOME]]-Table256[[#This Row],[Amount]]</f>
        <v>30245.279999999999</v>
      </c>
      <c r="J64" s="4">
        <v>31000</v>
      </c>
      <c r="K64" s="4" t="s">
        <v>15</v>
      </c>
    </row>
    <row r="65" spans="4:11" x14ac:dyDescent="0.3">
      <c r="D65" s="3">
        <v>45924</v>
      </c>
      <c r="E65" s="4" t="str">
        <f>TEXT(Table256[[#This Row],[Date]],"mmmm")</f>
        <v>September</v>
      </c>
      <c r="F65" s="4" t="s">
        <v>19</v>
      </c>
      <c r="G65" s="4">
        <v>8137.09</v>
      </c>
      <c r="H65" s="4" t="s">
        <v>11</v>
      </c>
      <c r="I65" s="4">
        <f>Table256[[#This Row],[INCOME]]-Table256[[#This Row],[Amount]]</f>
        <v>22862.91</v>
      </c>
      <c r="J65" s="4">
        <v>31000</v>
      </c>
      <c r="K65" s="4" t="s">
        <v>20</v>
      </c>
    </row>
    <row r="66" spans="4:11" x14ac:dyDescent="0.3">
      <c r="D66" s="3">
        <v>45886</v>
      </c>
      <c r="E66" s="4" t="str">
        <f>TEXT(Table256[[#This Row],[Date]],"mmmm")</f>
        <v>August</v>
      </c>
      <c r="F66" s="4" t="s">
        <v>7</v>
      </c>
      <c r="G66" s="4">
        <v>6409.47</v>
      </c>
      <c r="H66" s="4" t="s">
        <v>16</v>
      </c>
      <c r="I66" s="4">
        <f>Table256[[#This Row],[INCOME]]-Table256[[#This Row],[Amount]]</f>
        <v>24590.53</v>
      </c>
      <c r="J66" s="4">
        <v>31000</v>
      </c>
      <c r="K66" s="4" t="s">
        <v>9</v>
      </c>
    </row>
    <row r="67" spans="4:11" x14ac:dyDescent="0.3">
      <c r="D67" s="3">
        <v>45730</v>
      </c>
      <c r="E67" s="4" t="str">
        <f>TEXT(Table256[[#This Row],[Date]],"mmmm")</f>
        <v>March</v>
      </c>
      <c r="F67" s="4" t="s">
        <v>21</v>
      </c>
      <c r="G67" s="4">
        <v>1514.86</v>
      </c>
      <c r="H67" s="4" t="s">
        <v>16</v>
      </c>
      <c r="I67" s="4">
        <f>Table256[[#This Row],[INCOME]]-Table256[[#This Row],[Amount]]</f>
        <v>29485.14</v>
      </c>
      <c r="J67" s="4">
        <v>31000</v>
      </c>
      <c r="K67" s="4" t="s">
        <v>22</v>
      </c>
    </row>
    <row r="68" spans="4:11" x14ac:dyDescent="0.3">
      <c r="D68" s="3">
        <v>45660</v>
      </c>
      <c r="E68" s="4" t="str">
        <f>TEXT(Table256[[#This Row],[Date]],"mmmm")</f>
        <v>January</v>
      </c>
      <c r="F68" s="4" t="s">
        <v>10</v>
      </c>
      <c r="G68" s="4">
        <v>3298.97</v>
      </c>
      <c r="H68" s="4" t="s">
        <v>11</v>
      </c>
      <c r="I68" s="4">
        <f>Table256[[#This Row],[INCOME]]-Table256[[#This Row],[Amount]]</f>
        <v>27701.03</v>
      </c>
      <c r="J68" s="4">
        <v>31000</v>
      </c>
      <c r="K68" s="4" t="s">
        <v>12</v>
      </c>
    </row>
    <row r="69" spans="4:11" x14ac:dyDescent="0.3">
      <c r="D69" s="3">
        <v>45930</v>
      </c>
      <c r="E69" s="4" t="str">
        <f>TEXT(Table256[[#This Row],[Date]],"mmmm")</f>
        <v>September</v>
      </c>
      <c r="F69" s="4" t="s">
        <v>23</v>
      </c>
      <c r="G69" s="4">
        <v>3763.54</v>
      </c>
      <c r="H69" s="4" t="s">
        <v>14</v>
      </c>
      <c r="I69" s="4">
        <f>Table256[[#This Row],[INCOME]]-Table256[[#This Row],[Amount]]</f>
        <v>27236.46</v>
      </c>
      <c r="J69" s="4">
        <v>31000</v>
      </c>
      <c r="K69" s="4" t="s">
        <v>24</v>
      </c>
    </row>
    <row r="70" spans="4:11" x14ac:dyDescent="0.3">
      <c r="D70" s="3">
        <v>45791</v>
      </c>
      <c r="E70" s="4" t="str">
        <f>TEXT(Table256[[#This Row],[Date]],"mmmm")</f>
        <v>May</v>
      </c>
      <c r="F70" s="4" t="s">
        <v>17</v>
      </c>
      <c r="G70" s="4">
        <v>7267.47</v>
      </c>
      <c r="H70" s="4" t="s">
        <v>16</v>
      </c>
      <c r="I70" s="4">
        <f>Table256[[#This Row],[INCOME]]-Table256[[#This Row],[Amount]]</f>
        <v>12732.529999999999</v>
      </c>
      <c r="J70" s="4">
        <v>20000</v>
      </c>
      <c r="K70" s="4" t="s">
        <v>18</v>
      </c>
    </row>
    <row r="71" spans="4:11" x14ac:dyDescent="0.3">
      <c r="D71" s="3">
        <v>45873</v>
      </c>
      <c r="E71" s="4" t="str">
        <f>TEXT(Table256[[#This Row],[Date]],"mmmm")</f>
        <v>August</v>
      </c>
      <c r="F71" s="4" t="s">
        <v>17</v>
      </c>
      <c r="G71" s="4">
        <v>1492.97</v>
      </c>
      <c r="H71" s="4" t="s">
        <v>11</v>
      </c>
      <c r="I71" s="4">
        <f>Table256[[#This Row],[INCOME]]-Table256[[#This Row],[Amount]]</f>
        <v>18507.03</v>
      </c>
      <c r="J71" s="4">
        <v>20000</v>
      </c>
      <c r="K71" s="4" t="s">
        <v>18</v>
      </c>
    </row>
    <row r="72" spans="4:11" x14ac:dyDescent="0.3">
      <c r="D72" s="3">
        <v>45910</v>
      </c>
      <c r="E72" s="4" t="str">
        <f>TEXT(Table256[[#This Row],[Date]],"mmmm")</f>
        <v>September</v>
      </c>
      <c r="F72" s="4" t="s">
        <v>13</v>
      </c>
      <c r="G72" s="4">
        <v>4218.59</v>
      </c>
      <c r="H72" s="4" t="s">
        <v>14</v>
      </c>
      <c r="I72" s="4">
        <f>Table256[[#This Row],[INCOME]]-Table256[[#This Row],[Amount]]</f>
        <v>15781.41</v>
      </c>
      <c r="J72" s="4">
        <v>20000</v>
      </c>
      <c r="K72" s="4" t="s">
        <v>15</v>
      </c>
    </row>
    <row r="73" spans="4:11" x14ac:dyDescent="0.3">
      <c r="D73" s="3">
        <v>45888</v>
      </c>
      <c r="E73" s="4" t="str">
        <f>TEXT(Table256[[#This Row],[Date]],"mmmm")</f>
        <v>August</v>
      </c>
      <c r="F73" s="4" t="s">
        <v>25</v>
      </c>
      <c r="G73" s="4">
        <v>1832.85</v>
      </c>
      <c r="H73" s="4" t="s">
        <v>11</v>
      </c>
      <c r="I73" s="4">
        <f>Table256[[#This Row],[INCOME]]-Table256[[#This Row],[Amount]]</f>
        <v>18167.150000000001</v>
      </c>
      <c r="J73" s="4">
        <v>20000</v>
      </c>
      <c r="K73" s="4" t="s">
        <v>26</v>
      </c>
    </row>
    <row r="74" spans="4:11" x14ac:dyDescent="0.3">
      <c r="D74" s="3">
        <v>45959</v>
      </c>
      <c r="E74" s="4" t="str">
        <f>TEXT(Table256[[#This Row],[Date]],"mmmm")</f>
        <v>October</v>
      </c>
      <c r="F74" s="4" t="s">
        <v>13</v>
      </c>
      <c r="G74" s="4">
        <v>4837.12</v>
      </c>
      <c r="H74" s="4" t="s">
        <v>14</v>
      </c>
      <c r="I74" s="4">
        <f>Table256[[#This Row],[INCOME]]-Table256[[#This Row],[Amount]]</f>
        <v>15162.880000000001</v>
      </c>
      <c r="J74" s="4">
        <v>20000</v>
      </c>
      <c r="K74" s="4" t="s">
        <v>15</v>
      </c>
    </row>
    <row r="75" spans="4:11" x14ac:dyDescent="0.3">
      <c r="D75" s="3">
        <v>45714</v>
      </c>
      <c r="E75" s="4" t="str">
        <f>TEXT(Table256[[#This Row],[Date]],"mmmm")</f>
        <v>February</v>
      </c>
      <c r="F75" s="4" t="s">
        <v>10</v>
      </c>
      <c r="G75" s="4">
        <v>3224.4</v>
      </c>
      <c r="H75" s="4" t="s">
        <v>16</v>
      </c>
      <c r="I75" s="4">
        <f>Table256[[#This Row],[INCOME]]-Table256[[#This Row],[Amount]]</f>
        <v>16775.599999999999</v>
      </c>
      <c r="J75" s="4">
        <v>20000</v>
      </c>
      <c r="K75" s="4" t="s">
        <v>12</v>
      </c>
    </row>
    <row r="76" spans="4:11" x14ac:dyDescent="0.3">
      <c r="D76" s="3">
        <v>45680</v>
      </c>
      <c r="E76" s="4" t="str">
        <f>TEXT(Table256[[#This Row],[Date]],"mmmm")</f>
        <v>January</v>
      </c>
      <c r="F76" s="4" t="s">
        <v>19</v>
      </c>
      <c r="G76" s="4">
        <v>6200.28</v>
      </c>
      <c r="H76" s="4" t="s">
        <v>8</v>
      </c>
      <c r="I76" s="4">
        <f>Table256[[#This Row],[INCOME]]-Table256[[#This Row],[Amount]]</f>
        <v>13799.720000000001</v>
      </c>
      <c r="J76" s="4">
        <v>20000</v>
      </c>
      <c r="K76" s="4" t="s">
        <v>20</v>
      </c>
    </row>
    <row r="77" spans="4:11" x14ac:dyDescent="0.3">
      <c r="D77" s="3">
        <v>45912</v>
      </c>
      <c r="E77" s="4" t="str">
        <f>TEXT(Table256[[#This Row],[Date]],"mmmm")</f>
        <v>September</v>
      </c>
      <c r="F77" s="4" t="s">
        <v>19</v>
      </c>
      <c r="G77" s="4">
        <v>6070.57</v>
      </c>
      <c r="H77" s="4" t="s">
        <v>8</v>
      </c>
      <c r="I77" s="4">
        <f>Table256[[#This Row],[INCOME]]-Table256[[#This Row],[Amount]]</f>
        <v>13929.43</v>
      </c>
      <c r="J77" s="4">
        <v>20000</v>
      </c>
      <c r="K77" s="4" t="s">
        <v>20</v>
      </c>
    </row>
    <row r="78" spans="4:11" x14ac:dyDescent="0.3">
      <c r="D78" s="3">
        <v>45720</v>
      </c>
      <c r="E78" s="4" t="str">
        <f>TEXT(Table256[[#This Row],[Date]],"mmmm")</f>
        <v>March</v>
      </c>
      <c r="F78" s="4" t="s">
        <v>17</v>
      </c>
      <c r="G78" s="4">
        <v>3181.24</v>
      </c>
      <c r="H78" s="4" t="s">
        <v>8</v>
      </c>
      <c r="I78" s="4">
        <f>Table256[[#This Row],[INCOME]]-Table256[[#This Row],[Amount]]</f>
        <v>16818.760000000002</v>
      </c>
      <c r="J78" s="4">
        <v>20000</v>
      </c>
      <c r="K78" s="4" t="s">
        <v>18</v>
      </c>
    </row>
    <row r="79" spans="4:11" x14ac:dyDescent="0.3">
      <c r="D79" s="3">
        <v>45857</v>
      </c>
      <c r="E79" s="4" t="str">
        <f>TEXT(Table256[[#This Row],[Date]],"mmmm")</f>
        <v>July</v>
      </c>
      <c r="F79" s="4" t="s">
        <v>17</v>
      </c>
      <c r="G79" s="4">
        <v>1168.21</v>
      </c>
      <c r="H79" s="4" t="s">
        <v>8</v>
      </c>
      <c r="I79" s="4">
        <f>Table256[[#This Row],[INCOME]]-Table256[[#This Row],[Amount]]</f>
        <v>18831.79</v>
      </c>
      <c r="J79" s="4">
        <v>20000</v>
      </c>
      <c r="K79" s="4" t="s">
        <v>18</v>
      </c>
    </row>
    <row r="80" spans="4:11" x14ac:dyDescent="0.3">
      <c r="D80" s="3">
        <v>45837</v>
      </c>
      <c r="E80" s="4" t="str">
        <f>TEXT(Table256[[#This Row],[Date]],"mmmm")</f>
        <v>June</v>
      </c>
      <c r="F80" s="4" t="s">
        <v>23</v>
      </c>
      <c r="G80" s="4">
        <v>6774.61</v>
      </c>
      <c r="H80" s="4" t="s">
        <v>8</v>
      </c>
      <c r="I80" s="4">
        <f>Table256[[#This Row],[INCOME]]-Table256[[#This Row],[Amount]]</f>
        <v>13225.39</v>
      </c>
      <c r="J80" s="4">
        <v>20000</v>
      </c>
      <c r="K80" s="4" t="s">
        <v>24</v>
      </c>
    </row>
    <row r="81" spans="4:11" x14ac:dyDescent="0.3">
      <c r="D81" s="3">
        <v>45951</v>
      </c>
      <c r="E81" s="4" t="str">
        <f>TEXT(Table256[[#This Row],[Date]],"mmmm")</f>
        <v>October</v>
      </c>
      <c r="F81" s="4" t="s">
        <v>17</v>
      </c>
      <c r="G81" s="4">
        <v>3110.14</v>
      </c>
      <c r="H81" s="4" t="s">
        <v>8</v>
      </c>
      <c r="I81" s="4">
        <f>Table256[[#This Row],[INCOME]]-Table256[[#This Row],[Amount]]</f>
        <v>16889.86</v>
      </c>
      <c r="J81" s="4">
        <v>20000</v>
      </c>
      <c r="K81" s="4" t="s">
        <v>18</v>
      </c>
    </row>
    <row r="82" spans="4:11" x14ac:dyDescent="0.3">
      <c r="D82" s="3">
        <v>45900</v>
      </c>
      <c r="E82" s="4" t="str">
        <f>TEXT(Table256[[#This Row],[Date]],"mmmm")</f>
        <v>August</v>
      </c>
      <c r="F82" s="4" t="s">
        <v>23</v>
      </c>
      <c r="G82" s="4">
        <v>6732.9</v>
      </c>
      <c r="H82" s="4" t="s">
        <v>16</v>
      </c>
      <c r="I82" s="4">
        <f>Table256[[#This Row],[INCOME]]-Table256[[#This Row],[Amount]]</f>
        <v>13267.1</v>
      </c>
      <c r="J82" s="4">
        <v>20000</v>
      </c>
      <c r="K82" s="4" t="s">
        <v>24</v>
      </c>
    </row>
    <row r="83" spans="4:11" x14ac:dyDescent="0.3">
      <c r="D83" s="3">
        <v>45676</v>
      </c>
      <c r="E83" s="4" t="str">
        <f>TEXT(Table256[[#This Row],[Date]],"mmmm")</f>
        <v>January</v>
      </c>
      <c r="F83" s="4" t="s">
        <v>23</v>
      </c>
      <c r="G83" s="4">
        <v>3895.99</v>
      </c>
      <c r="H83" s="4" t="s">
        <v>16</v>
      </c>
      <c r="I83" s="4">
        <f>Table256[[#This Row],[INCOME]]-Table256[[#This Row],[Amount]]</f>
        <v>16104.01</v>
      </c>
      <c r="J83" s="4">
        <v>20000</v>
      </c>
      <c r="K83" s="4" t="s">
        <v>24</v>
      </c>
    </row>
    <row r="84" spans="4:11" x14ac:dyDescent="0.3">
      <c r="D84" s="3">
        <v>45744</v>
      </c>
      <c r="E84" s="4" t="str">
        <f>TEXT(Table256[[#This Row],[Date]],"mmmm")</f>
        <v>March</v>
      </c>
      <c r="F84" s="4" t="s">
        <v>23</v>
      </c>
      <c r="G84" s="4">
        <v>2106.56</v>
      </c>
      <c r="H84" s="4" t="s">
        <v>14</v>
      </c>
      <c r="I84" s="4">
        <f>Table256[[#This Row],[INCOME]]-Table256[[#This Row],[Amount]]</f>
        <v>17893.439999999999</v>
      </c>
      <c r="J84" s="4">
        <v>20000</v>
      </c>
      <c r="K84" s="4" t="s">
        <v>24</v>
      </c>
    </row>
    <row r="85" spans="4:11" x14ac:dyDescent="0.3">
      <c r="D85" s="3">
        <v>45667</v>
      </c>
      <c r="E85" s="4" t="str">
        <f>TEXT(Table256[[#This Row],[Date]],"mmmm")</f>
        <v>January</v>
      </c>
      <c r="F85" s="4" t="s">
        <v>17</v>
      </c>
      <c r="G85" s="4">
        <v>7100.6</v>
      </c>
      <c r="H85" s="4" t="s">
        <v>11</v>
      </c>
      <c r="I85" s="4">
        <f>Table256[[#This Row],[INCOME]]-Table256[[#This Row],[Amount]]</f>
        <v>12899.4</v>
      </c>
      <c r="J85" s="4">
        <v>20000</v>
      </c>
      <c r="K85" s="4" t="s">
        <v>18</v>
      </c>
    </row>
    <row r="86" spans="4:11" x14ac:dyDescent="0.3">
      <c r="D86" s="3">
        <v>45945</v>
      </c>
      <c r="E86" s="4" t="str">
        <f>TEXT(Table256[[#This Row],[Date]],"mmmm")</f>
        <v>October</v>
      </c>
      <c r="F86" s="4" t="s">
        <v>13</v>
      </c>
      <c r="G86" s="4">
        <v>8991.7199999999993</v>
      </c>
      <c r="H86" s="4" t="s">
        <v>8</v>
      </c>
      <c r="I86" s="4">
        <f>Table256[[#This Row],[INCOME]]-Table256[[#This Row],[Amount]]</f>
        <v>11008.28</v>
      </c>
      <c r="J86" s="4">
        <v>20000</v>
      </c>
      <c r="K86" s="4" t="s">
        <v>15</v>
      </c>
    </row>
    <row r="87" spans="4:11" x14ac:dyDescent="0.3">
      <c r="D87" s="3">
        <v>45837</v>
      </c>
      <c r="E87" s="4" t="str">
        <f>TEXT(Table256[[#This Row],[Date]],"mmmm")</f>
        <v>June</v>
      </c>
      <c r="F87" s="4" t="s">
        <v>7</v>
      </c>
      <c r="G87" s="4">
        <v>3815.89</v>
      </c>
      <c r="H87" s="4" t="s">
        <v>8</v>
      </c>
      <c r="I87" s="4">
        <f>Table256[[#This Row],[INCOME]]-Table256[[#This Row],[Amount]]</f>
        <v>16184.11</v>
      </c>
      <c r="J87" s="4">
        <v>20000</v>
      </c>
      <c r="K87" s="4" t="s">
        <v>9</v>
      </c>
    </row>
    <row r="88" spans="4:11" x14ac:dyDescent="0.3">
      <c r="D88" s="3">
        <v>45980</v>
      </c>
      <c r="E88" s="4" t="str">
        <f>TEXT(Table256[[#This Row],[Date]],"mmmm")</f>
        <v>November</v>
      </c>
      <c r="F88" s="4" t="s">
        <v>23</v>
      </c>
      <c r="G88" s="4">
        <v>2005.16</v>
      </c>
      <c r="H88" s="4" t="s">
        <v>14</v>
      </c>
      <c r="I88" s="4">
        <f>Table256[[#This Row],[INCOME]]-Table256[[#This Row],[Amount]]</f>
        <v>17994.84</v>
      </c>
      <c r="J88" s="4">
        <v>20000</v>
      </c>
      <c r="K88" s="4" t="s">
        <v>24</v>
      </c>
    </row>
    <row r="89" spans="4:11" x14ac:dyDescent="0.3">
      <c r="D89" s="3">
        <v>45842</v>
      </c>
      <c r="E89" s="4" t="str">
        <f>TEXT(Table256[[#This Row],[Date]],"mmmm")</f>
        <v>July</v>
      </c>
      <c r="F89" s="4" t="s">
        <v>23</v>
      </c>
      <c r="G89" s="4">
        <v>1041.76</v>
      </c>
      <c r="H89" s="4" t="s">
        <v>14</v>
      </c>
      <c r="I89" s="4">
        <f>Table256[[#This Row],[INCOME]]-Table256[[#This Row],[Amount]]</f>
        <v>18958.240000000002</v>
      </c>
      <c r="J89" s="4">
        <v>20000</v>
      </c>
      <c r="K89" s="4" t="s">
        <v>24</v>
      </c>
    </row>
    <row r="90" spans="4:11" x14ac:dyDescent="0.3">
      <c r="D90" s="3">
        <v>45862</v>
      </c>
      <c r="E90" s="4" t="str">
        <f>TEXT(Table256[[#This Row],[Date]],"mmmm")</f>
        <v>July</v>
      </c>
      <c r="F90" s="4" t="s">
        <v>25</v>
      </c>
      <c r="G90" s="4">
        <v>4974.1099999999997</v>
      </c>
      <c r="H90" s="4" t="s">
        <v>16</v>
      </c>
      <c r="I90" s="4">
        <f>Table256[[#This Row],[INCOME]]-Table256[[#This Row],[Amount]]</f>
        <v>15025.89</v>
      </c>
      <c r="J90" s="4">
        <v>20000</v>
      </c>
      <c r="K90" s="4" t="s">
        <v>26</v>
      </c>
    </row>
    <row r="91" spans="4:11" x14ac:dyDescent="0.3">
      <c r="D91" s="3">
        <v>45857</v>
      </c>
      <c r="E91" s="4" t="str">
        <f>TEXT(Table256[[#This Row],[Date]],"mmmm")</f>
        <v>July</v>
      </c>
      <c r="F91" s="4" t="s">
        <v>17</v>
      </c>
      <c r="G91" s="4">
        <v>1413.83</v>
      </c>
      <c r="H91" s="4" t="s">
        <v>8</v>
      </c>
      <c r="I91" s="4">
        <f>Table256[[#This Row],[INCOME]]-Table256[[#This Row],[Amount]]</f>
        <v>18586.169999999998</v>
      </c>
      <c r="J91" s="4">
        <v>20000</v>
      </c>
      <c r="K91" s="4" t="s">
        <v>18</v>
      </c>
    </row>
    <row r="92" spans="4:11" x14ac:dyDescent="0.3">
      <c r="D92" s="3">
        <v>45783</v>
      </c>
      <c r="E92" s="4" t="str">
        <f>TEXT(Table256[[#This Row],[Date]],"mmmm")</f>
        <v>May</v>
      </c>
      <c r="F92" s="4" t="s">
        <v>17</v>
      </c>
      <c r="G92" s="4">
        <v>5041.33</v>
      </c>
      <c r="H92" s="4" t="s">
        <v>8</v>
      </c>
      <c r="I92" s="4">
        <f>Table256[[#This Row],[INCOME]]-Table256[[#This Row],[Amount]]</f>
        <v>14958.67</v>
      </c>
      <c r="J92" s="4">
        <v>20000</v>
      </c>
      <c r="K92" s="4" t="s">
        <v>18</v>
      </c>
    </row>
    <row r="93" spans="4:11" x14ac:dyDescent="0.3">
      <c r="D93" s="3">
        <v>45784</v>
      </c>
      <c r="E93" s="4" t="str">
        <f>TEXT(Table256[[#This Row],[Date]],"mmmm")</f>
        <v>May</v>
      </c>
      <c r="F93" s="4" t="s">
        <v>27</v>
      </c>
      <c r="G93" s="4">
        <v>3047.68</v>
      </c>
      <c r="H93" s="4" t="s">
        <v>11</v>
      </c>
      <c r="I93" s="4">
        <f>Table256[[#This Row],[INCOME]]-Table256[[#This Row],[Amount]]</f>
        <v>16952.32</v>
      </c>
      <c r="J93" s="4">
        <v>20000</v>
      </c>
      <c r="K93" s="4" t="s">
        <v>28</v>
      </c>
    </row>
    <row r="94" spans="4:11" x14ac:dyDescent="0.3">
      <c r="D94" s="3">
        <v>45823</v>
      </c>
      <c r="E94" s="4" t="str">
        <f>TEXT(Table256[[#This Row],[Date]],"mmmm")</f>
        <v>June</v>
      </c>
      <c r="F94" s="4" t="s">
        <v>25</v>
      </c>
      <c r="G94" s="4">
        <v>1485.61</v>
      </c>
      <c r="H94" s="4" t="s">
        <v>16</v>
      </c>
      <c r="I94" s="4">
        <f>Table256[[#This Row],[INCOME]]-Table256[[#This Row],[Amount]]</f>
        <v>18514.39</v>
      </c>
      <c r="J94" s="4">
        <v>20000</v>
      </c>
      <c r="K94" s="4" t="s">
        <v>26</v>
      </c>
    </row>
    <row r="95" spans="4:11" x14ac:dyDescent="0.3">
      <c r="D95" s="3">
        <v>45933</v>
      </c>
      <c r="E95" s="4" t="str">
        <f>TEXT(Table256[[#This Row],[Date]],"mmmm")</f>
        <v>October</v>
      </c>
      <c r="F95" s="4" t="s">
        <v>25</v>
      </c>
      <c r="G95" s="4">
        <v>5578.67</v>
      </c>
      <c r="H95" s="4" t="s">
        <v>14</v>
      </c>
      <c r="I95" s="4">
        <f>Table256[[#This Row],[INCOME]]-Table256[[#This Row],[Amount]]</f>
        <v>14421.33</v>
      </c>
      <c r="J95" s="4">
        <v>20000</v>
      </c>
      <c r="K95" s="4" t="s">
        <v>26</v>
      </c>
    </row>
    <row r="96" spans="4:11" x14ac:dyDescent="0.3">
      <c r="D96" s="3">
        <v>45666</v>
      </c>
      <c r="E96" s="4" t="str">
        <f>TEXT(Table256[[#This Row],[Date]],"mmmm")</f>
        <v>January</v>
      </c>
      <c r="F96" s="4" t="s">
        <v>7</v>
      </c>
      <c r="G96" s="4">
        <v>1002.7</v>
      </c>
      <c r="H96" s="4" t="s">
        <v>16</v>
      </c>
      <c r="I96" s="4">
        <f>Table256[[#This Row],[INCOME]]-Table256[[#This Row],[Amount]]</f>
        <v>18997.3</v>
      </c>
      <c r="J96" s="4">
        <v>20000</v>
      </c>
      <c r="K96" s="4" t="s">
        <v>9</v>
      </c>
    </row>
    <row r="97" spans="4:11" x14ac:dyDescent="0.3">
      <c r="D97" s="3">
        <v>45930</v>
      </c>
      <c r="E97" s="4" t="str">
        <f>TEXT(Table256[[#This Row],[Date]],"mmmm")</f>
        <v>September</v>
      </c>
      <c r="F97" s="4" t="s">
        <v>25</v>
      </c>
      <c r="G97" s="4">
        <v>4639.55</v>
      </c>
      <c r="H97" s="4" t="s">
        <v>11</v>
      </c>
      <c r="I97" s="4">
        <f>Table256[[#This Row],[INCOME]]-Table256[[#This Row],[Amount]]</f>
        <v>15360.45</v>
      </c>
      <c r="J97" s="4">
        <v>20000</v>
      </c>
      <c r="K97" s="4" t="s">
        <v>26</v>
      </c>
    </row>
    <row r="98" spans="4:11" x14ac:dyDescent="0.3">
      <c r="D98" s="3">
        <v>45885</v>
      </c>
      <c r="E98" s="4" t="str">
        <f>TEXT(Table256[[#This Row],[Date]],"mmmm")</f>
        <v>August</v>
      </c>
      <c r="F98" s="4" t="s">
        <v>7</v>
      </c>
      <c r="G98" s="4">
        <v>2658.58</v>
      </c>
      <c r="H98" s="4" t="s">
        <v>11</v>
      </c>
      <c r="I98" s="4">
        <f>Table256[[#This Row],[INCOME]]-Table256[[#This Row],[Amount]]</f>
        <v>17341.419999999998</v>
      </c>
      <c r="J98" s="4">
        <v>20000</v>
      </c>
      <c r="K98" s="4" t="s">
        <v>9</v>
      </c>
    </row>
    <row r="99" spans="4:11" x14ac:dyDescent="0.3">
      <c r="D99" s="3">
        <v>45856</v>
      </c>
      <c r="E99" s="4" t="str">
        <f>TEXT(Table256[[#This Row],[Date]],"mmmm")</f>
        <v>July</v>
      </c>
      <c r="F99" s="4" t="s">
        <v>27</v>
      </c>
      <c r="G99" s="4">
        <v>8275.24</v>
      </c>
      <c r="H99" s="4" t="s">
        <v>11</v>
      </c>
      <c r="I99" s="4">
        <f>Table256[[#This Row],[INCOME]]-Table256[[#This Row],[Amount]]</f>
        <v>11724.76</v>
      </c>
      <c r="J99" s="4">
        <v>20000</v>
      </c>
      <c r="K99" s="4" t="s">
        <v>28</v>
      </c>
    </row>
    <row r="100" spans="4:11" x14ac:dyDescent="0.3">
      <c r="D100" s="3">
        <v>45931</v>
      </c>
      <c r="E100" s="4" t="str">
        <f>TEXT(Table256[[#This Row],[Date]],"mmmm")</f>
        <v>October</v>
      </c>
      <c r="F100" s="4" t="s">
        <v>27</v>
      </c>
      <c r="G100" s="4">
        <v>8749.59</v>
      </c>
      <c r="H100" s="4" t="s">
        <v>14</v>
      </c>
      <c r="I100" s="4">
        <f>Table256[[#This Row],[INCOME]]-Table256[[#This Row],[Amount]]</f>
        <v>11250.41</v>
      </c>
      <c r="J100" s="4">
        <v>20000</v>
      </c>
      <c r="K100" s="4" t="s">
        <v>28</v>
      </c>
    </row>
    <row r="101" spans="4:11" x14ac:dyDescent="0.3">
      <c r="D101" s="3">
        <v>45931</v>
      </c>
      <c r="E101" s="4" t="str">
        <f>TEXT(Table256[[#This Row],[Date]],"mmmm")</f>
        <v>October</v>
      </c>
      <c r="F101" s="4" t="s">
        <v>13</v>
      </c>
      <c r="G101" s="4">
        <v>2473.86</v>
      </c>
      <c r="H101" s="4" t="s">
        <v>14</v>
      </c>
      <c r="I101" s="4">
        <f>Table256[[#This Row],[INCOME]]-Table256[[#This Row],[Amount]]</f>
        <v>17526.14</v>
      </c>
      <c r="J101" s="4">
        <v>20000</v>
      </c>
      <c r="K101" s="4" t="s">
        <v>15</v>
      </c>
    </row>
    <row r="102" spans="4:11" x14ac:dyDescent="0.3">
      <c r="D102" s="3">
        <v>45769</v>
      </c>
      <c r="E102" s="4" t="str">
        <f>TEXT(Table256[[#This Row],[Date]],"mmmm")</f>
        <v>April</v>
      </c>
      <c r="F102" s="4" t="s">
        <v>7</v>
      </c>
      <c r="G102" s="4">
        <v>6941.03</v>
      </c>
      <c r="H102" s="4" t="s">
        <v>14</v>
      </c>
      <c r="I102" s="4">
        <f>Table256[[#This Row],[INCOME]]-Table256[[#This Row],[Amount]]</f>
        <v>13058.970000000001</v>
      </c>
      <c r="J102" s="4">
        <v>20000</v>
      </c>
      <c r="K102" s="4" t="s">
        <v>9</v>
      </c>
    </row>
    <row r="103" spans="4:11" x14ac:dyDescent="0.3">
      <c r="D103" s="3">
        <v>45684</v>
      </c>
      <c r="E103" s="4" t="str">
        <f>TEXT(Table256[[#This Row],[Date]],"mmmm")</f>
        <v>January</v>
      </c>
      <c r="F103" s="4" t="s">
        <v>25</v>
      </c>
      <c r="G103" s="4">
        <v>4131.8100000000004</v>
      </c>
      <c r="H103" s="4" t="s">
        <v>11</v>
      </c>
      <c r="I103" s="4">
        <f>Table256[[#This Row],[INCOME]]-Table256[[#This Row],[Amount]]</f>
        <v>15868.189999999999</v>
      </c>
      <c r="J103" s="4">
        <v>20000</v>
      </c>
      <c r="K103" s="4" t="s">
        <v>26</v>
      </c>
    </row>
    <row r="104" spans="4:11" x14ac:dyDescent="0.3">
      <c r="D104" s="3">
        <v>45935</v>
      </c>
      <c r="E104" s="4" t="str">
        <f>TEXT(Table256[[#This Row],[Date]],"mmmm")</f>
        <v>October</v>
      </c>
      <c r="F104" s="4" t="s">
        <v>23</v>
      </c>
      <c r="G104" s="4">
        <v>5431.86</v>
      </c>
      <c r="H104" s="4" t="s">
        <v>14</v>
      </c>
      <c r="I104" s="4">
        <f>Table256[[#This Row],[INCOME]]-Table256[[#This Row],[Amount]]</f>
        <v>14568.14</v>
      </c>
      <c r="J104" s="4">
        <v>20000</v>
      </c>
      <c r="K104" s="4" t="s">
        <v>24</v>
      </c>
    </row>
    <row r="105" spans="4:11" x14ac:dyDescent="0.3">
      <c r="D105" s="3">
        <v>45725</v>
      </c>
      <c r="E105" s="4" t="str">
        <f>TEXT(Table256[[#This Row],[Date]],"mmmm")</f>
        <v>March</v>
      </c>
      <c r="F105" s="4" t="s">
        <v>10</v>
      </c>
      <c r="G105" s="4">
        <v>2300.58</v>
      </c>
      <c r="H105" s="4" t="s">
        <v>11</v>
      </c>
      <c r="I105" s="4">
        <f>Table256[[#This Row],[INCOME]]-Table256[[#This Row],[Amount]]</f>
        <v>17699.419999999998</v>
      </c>
      <c r="J105" s="4">
        <v>20000</v>
      </c>
      <c r="K105" s="4" t="s">
        <v>12</v>
      </c>
    </row>
    <row r="106" spans="4:11" x14ac:dyDescent="0.3">
      <c r="D106" s="3">
        <v>45755</v>
      </c>
      <c r="E106" s="4" t="str">
        <f>TEXT(Table256[[#This Row],[Date]],"mmmm")</f>
        <v>April</v>
      </c>
      <c r="F106" s="4" t="s">
        <v>13</v>
      </c>
      <c r="G106" s="4">
        <v>4793.3999999999996</v>
      </c>
      <c r="H106" s="4" t="s">
        <v>8</v>
      </c>
      <c r="I106" s="4">
        <f>Table256[[#This Row],[INCOME]]-Table256[[#This Row],[Amount]]</f>
        <v>15206.6</v>
      </c>
      <c r="J106" s="4">
        <v>20000</v>
      </c>
      <c r="K106" s="4" t="s">
        <v>15</v>
      </c>
    </row>
    <row r="107" spans="4:11" x14ac:dyDescent="0.3">
      <c r="D107" s="3">
        <v>45791</v>
      </c>
      <c r="E107" s="4" t="str">
        <f>TEXT(Table256[[#This Row],[Date]],"mmmm")</f>
        <v>May</v>
      </c>
      <c r="F107" s="4" t="s">
        <v>23</v>
      </c>
      <c r="G107" s="4">
        <v>6418.51</v>
      </c>
      <c r="H107" s="4" t="s">
        <v>11</v>
      </c>
      <c r="I107" s="4">
        <f>Table256[[#This Row],[INCOME]]-Table256[[#This Row],[Amount]]</f>
        <v>28581.489999999998</v>
      </c>
      <c r="J107" s="4">
        <v>35000</v>
      </c>
      <c r="K107" s="4" t="s">
        <v>24</v>
      </c>
    </row>
    <row r="108" spans="4:11" x14ac:dyDescent="0.3">
      <c r="D108" s="3">
        <v>45967</v>
      </c>
      <c r="E108" s="4" t="str">
        <f>TEXT(Table256[[#This Row],[Date]],"mmmm")</f>
        <v>November</v>
      </c>
      <c r="F108" s="4" t="s">
        <v>13</v>
      </c>
      <c r="G108" s="4">
        <v>3741.44</v>
      </c>
      <c r="H108" s="4" t="s">
        <v>14</v>
      </c>
      <c r="I108" s="4">
        <f>Table256[[#This Row],[INCOME]]-Table256[[#This Row],[Amount]]</f>
        <v>31258.560000000001</v>
      </c>
      <c r="J108" s="4">
        <v>35000</v>
      </c>
      <c r="K108" s="4" t="s">
        <v>15</v>
      </c>
    </row>
    <row r="109" spans="4:11" x14ac:dyDescent="0.3">
      <c r="D109" s="3">
        <v>45847</v>
      </c>
      <c r="E109" s="4" t="str">
        <f>TEXT(Table256[[#This Row],[Date]],"mmmm")</f>
        <v>July</v>
      </c>
      <c r="F109" s="4" t="s">
        <v>17</v>
      </c>
      <c r="G109" s="4">
        <v>5214.76</v>
      </c>
      <c r="H109" s="4" t="s">
        <v>14</v>
      </c>
      <c r="I109" s="4">
        <f>Table256[[#This Row],[INCOME]]-Table256[[#This Row],[Amount]]</f>
        <v>29785.239999999998</v>
      </c>
      <c r="J109" s="4">
        <v>35000</v>
      </c>
      <c r="K109" s="4" t="s">
        <v>18</v>
      </c>
    </row>
    <row r="110" spans="4:11" x14ac:dyDescent="0.3">
      <c r="D110" s="3">
        <v>45985</v>
      </c>
      <c r="E110" s="4" t="str">
        <f>TEXT(Table256[[#This Row],[Date]],"mmmm")</f>
        <v>November</v>
      </c>
      <c r="F110" s="4" t="s">
        <v>7</v>
      </c>
      <c r="G110" s="4">
        <v>8644.7000000000007</v>
      </c>
      <c r="H110" s="4" t="s">
        <v>14</v>
      </c>
      <c r="I110" s="4">
        <f>Table256[[#This Row],[INCOME]]-Table256[[#This Row],[Amount]]</f>
        <v>26355.3</v>
      </c>
      <c r="J110" s="4">
        <v>35000</v>
      </c>
      <c r="K110" s="4" t="s">
        <v>9</v>
      </c>
    </row>
    <row r="111" spans="4:11" x14ac:dyDescent="0.3">
      <c r="D111" s="3">
        <v>45695</v>
      </c>
      <c r="E111" s="4" t="str">
        <f>TEXT(Table256[[#This Row],[Date]],"mmmm")</f>
        <v>February</v>
      </c>
      <c r="F111" s="4" t="s">
        <v>7</v>
      </c>
      <c r="G111" s="4">
        <v>6995.11</v>
      </c>
      <c r="H111" s="4" t="s">
        <v>16</v>
      </c>
      <c r="I111" s="4">
        <f>Table256[[#This Row],[INCOME]]-Table256[[#This Row],[Amount]]</f>
        <v>28004.89</v>
      </c>
      <c r="J111" s="4">
        <v>35000</v>
      </c>
      <c r="K111" s="4" t="s">
        <v>9</v>
      </c>
    </row>
    <row r="112" spans="4:11" x14ac:dyDescent="0.3">
      <c r="D112" s="3">
        <v>45797</v>
      </c>
      <c r="E112" s="4" t="str">
        <f>TEXT(Table256[[#This Row],[Date]],"mmmm")</f>
        <v>May</v>
      </c>
      <c r="F112" s="4" t="s">
        <v>7</v>
      </c>
      <c r="G112" s="4">
        <v>6878.43</v>
      </c>
      <c r="H112" s="4" t="s">
        <v>14</v>
      </c>
      <c r="I112" s="4">
        <f>Table256[[#This Row],[INCOME]]-Table256[[#This Row],[Amount]]</f>
        <v>28121.57</v>
      </c>
      <c r="J112" s="4">
        <v>35000</v>
      </c>
      <c r="K112" s="4" t="s">
        <v>9</v>
      </c>
    </row>
    <row r="113" spans="4:11" x14ac:dyDescent="0.3">
      <c r="D113" s="3">
        <v>45692</v>
      </c>
      <c r="E113" s="4" t="str">
        <f>TEXT(Table256[[#This Row],[Date]],"mmmm")</f>
        <v>February</v>
      </c>
      <c r="F113" s="4" t="s">
        <v>27</v>
      </c>
      <c r="G113" s="4">
        <v>82.32</v>
      </c>
      <c r="H113" s="4" t="s">
        <v>11</v>
      </c>
      <c r="I113" s="4">
        <f>Table256[[#This Row],[INCOME]]-Table256[[#This Row],[Amount]]</f>
        <v>34917.68</v>
      </c>
      <c r="J113" s="4">
        <v>35000</v>
      </c>
      <c r="K113" s="4" t="s">
        <v>28</v>
      </c>
    </row>
    <row r="114" spans="4:11" x14ac:dyDescent="0.3">
      <c r="D114" s="3">
        <v>45936</v>
      </c>
      <c r="E114" s="4" t="str">
        <f>TEXT(Table256[[#This Row],[Date]],"mmmm")</f>
        <v>October</v>
      </c>
      <c r="F114" s="4" t="s">
        <v>23</v>
      </c>
      <c r="G114" s="4">
        <v>211.42</v>
      </c>
      <c r="H114" s="4" t="s">
        <v>8</v>
      </c>
      <c r="I114" s="4">
        <f>Table256[[#This Row],[INCOME]]-Table256[[#This Row],[Amount]]</f>
        <v>34788.58</v>
      </c>
      <c r="J114" s="4">
        <v>35000</v>
      </c>
      <c r="K114" s="4" t="s">
        <v>24</v>
      </c>
    </row>
    <row r="115" spans="4:11" x14ac:dyDescent="0.3">
      <c r="D115" s="3">
        <v>45867</v>
      </c>
      <c r="E115" s="4" t="str">
        <f>TEXT(Table256[[#This Row],[Date]],"mmmm")</f>
        <v>July</v>
      </c>
      <c r="F115" s="4" t="s">
        <v>19</v>
      </c>
      <c r="G115" s="4">
        <v>2846.07</v>
      </c>
      <c r="H115" s="4" t="s">
        <v>14</v>
      </c>
      <c r="I115" s="4">
        <f>Table256[[#This Row],[INCOME]]-Table256[[#This Row],[Amount]]</f>
        <v>32153.93</v>
      </c>
      <c r="J115" s="4">
        <v>35000</v>
      </c>
      <c r="K115" s="4" t="s">
        <v>20</v>
      </c>
    </row>
    <row r="116" spans="4:11" x14ac:dyDescent="0.3">
      <c r="D116" s="3">
        <v>45746</v>
      </c>
      <c r="E116" s="4" t="str">
        <f>TEXT(Table256[[#This Row],[Date]],"mmmm")</f>
        <v>March</v>
      </c>
      <c r="F116" s="4" t="s">
        <v>7</v>
      </c>
      <c r="G116" s="4">
        <v>2244.87</v>
      </c>
      <c r="H116" s="4" t="s">
        <v>8</v>
      </c>
      <c r="I116" s="4">
        <f>Table256[[#This Row],[INCOME]]-Table256[[#This Row],[Amount]]</f>
        <v>32755.13</v>
      </c>
      <c r="J116" s="4">
        <v>35000</v>
      </c>
      <c r="K116" s="4" t="s">
        <v>9</v>
      </c>
    </row>
    <row r="117" spans="4:11" x14ac:dyDescent="0.3">
      <c r="D117" s="3">
        <v>45849</v>
      </c>
      <c r="E117" s="4" t="str">
        <f>TEXT(Table256[[#This Row],[Date]],"mmmm")</f>
        <v>July</v>
      </c>
      <c r="F117" s="4" t="s">
        <v>23</v>
      </c>
      <c r="G117" s="4">
        <v>3903.27</v>
      </c>
      <c r="H117" s="4" t="s">
        <v>14</v>
      </c>
      <c r="I117" s="4">
        <f>Table256[[#This Row],[INCOME]]-Table256[[#This Row],[Amount]]</f>
        <v>31096.73</v>
      </c>
      <c r="J117" s="4">
        <v>35000</v>
      </c>
      <c r="K117" s="4" t="s">
        <v>24</v>
      </c>
    </row>
    <row r="118" spans="4:11" x14ac:dyDescent="0.3">
      <c r="D118" s="3">
        <v>45866</v>
      </c>
      <c r="E118" s="4" t="str">
        <f>TEXT(Table256[[#This Row],[Date]],"mmmm")</f>
        <v>July</v>
      </c>
      <c r="F118" s="4" t="s">
        <v>17</v>
      </c>
      <c r="G118" s="4">
        <v>3002.34</v>
      </c>
      <c r="H118" s="4" t="s">
        <v>11</v>
      </c>
      <c r="I118" s="4">
        <f>Table256[[#This Row],[INCOME]]-Table256[[#This Row],[Amount]]</f>
        <v>31997.66</v>
      </c>
      <c r="J118" s="4">
        <v>35000</v>
      </c>
      <c r="K118" s="4" t="s">
        <v>18</v>
      </c>
    </row>
    <row r="119" spans="4:11" x14ac:dyDescent="0.3">
      <c r="D119" s="3">
        <v>45842</v>
      </c>
      <c r="E119" s="4" t="str">
        <f>TEXT(Table256[[#This Row],[Date]],"mmmm")</f>
        <v>July</v>
      </c>
      <c r="F119" s="4" t="s">
        <v>19</v>
      </c>
      <c r="G119" s="4">
        <v>2143.06</v>
      </c>
      <c r="H119" s="4" t="s">
        <v>16</v>
      </c>
      <c r="I119" s="4">
        <f>Table256[[#This Row],[INCOME]]-Table256[[#This Row],[Amount]]</f>
        <v>32856.94</v>
      </c>
      <c r="J119" s="4">
        <v>35000</v>
      </c>
      <c r="K119" s="4" t="s">
        <v>20</v>
      </c>
    </row>
    <row r="120" spans="4:11" x14ac:dyDescent="0.3">
      <c r="D120" s="3">
        <v>45797</v>
      </c>
      <c r="E120" s="4" t="str">
        <f>TEXT(Table256[[#This Row],[Date]],"mmmm")</f>
        <v>May</v>
      </c>
      <c r="F120" s="4" t="s">
        <v>27</v>
      </c>
      <c r="G120" s="4">
        <v>3453.74</v>
      </c>
      <c r="H120" s="4" t="s">
        <v>16</v>
      </c>
      <c r="I120" s="4">
        <f>Table256[[#This Row],[INCOME]]-Table256[[#This Row],[Amount]]</f>
        <v>16546.260000000002</v>
      </c>
      <c r="J120" s="4">
        <v>20000</v>
      </c>
      <c r="K120" s="4" t="s">
        <v>28</v>
      </c>
    </row>
    <row r="121" spans="4:11" x14ac:dyDescent="0.3">
      <c r="D121" s="3">
        <v>45954</v>
      </c>
      <c r="E121" s="4" t="str">
        <f>TEXT(Table256[[#This Row],[Date]],"mmmm")</f>
        <v>October</v>
      </c>
      <c r="F121" s="4" t="s">
        <v>17</v>
      </c>
      <c r="G121" s="4">
        <v>1515.32</v>
      </c>
      <c r="H121" s="4" t="s">
        <v>8</v>
      </c>
      <c r="I121" s="4">
        <f>Table256[[#This Row],[INCOME]]-Table256[[#This Row],[Amount]]</f>
        <v>18484.68</v>
      </c>
      <c r="J121" s="4">
        <v>20000</v>
      </c>
      <c r="K121" s="4" t="s">
        <v>18</v>
      </c>
    </row>
    <row r="122" spans="4:11" x14ac:dyDescent="0.3">
      <c r="D122" s="3">
        <v>45938</v>
      </c>
      <c r="E122" s="4" t="str">
        <f>TEXT(Table256[[#This Row],[Date]],"mmmm")</f>
        <v>October</v>
      </c>
      <c r="F122" s="4" t="s">
        <v>17</v>
      </c>
      <c r="G122" s="4">
        <v>2529.19</v>
      </c>
      <c r="H122" s="4" t="s">
        <v>14</v>
      </c>
      <c r="I122" s="4">
        <f>Table256[[#This Row],[INCOME]]-Table256[[#This Row],[Amount]]</f>
        <v>17470.810000000001</v>
      </c>
      <c r="J122" s="4">
        <v>20000</v>
      </c>
      <c r="K122" s="4" t="s">
        <v>18</v>
      </c>
    </row>
    <row r="123" spans="4:11" x14ac:dyDescent="0.3">
      <c r="D123" s="3">
        <v>45862</v>
      </c>
      <c r="E123" s="4" t="str">
        <f>TEXT(Table256[[#This Row],[Date]],"mmmm")</f>
        <v>July</v>
      </c>
      <c r="F123" s="4" t="s">
        <v>17</v>
      </c>
      <c r="G123" s="4">
        <v>926.32</v>
      </c>
      <c r="H123" s="4" t="s">
        <v>16</v>
      </c>
      <c r="I123" s="4">
        <f>Table256[[#This Row],[INCOME]]-Table256[[#This Row],[Amount]]</f>
        <v>19073.68</v>
      </c>
      <c r="J123" s="4">
        <v>20000</v>
      </c>
      <c r="K123" s="4" t="s">
        <v>18</v>
      </c>
    </row>
    <row r="124" spans="4:11" x14ac:dyDescent="0.3">
      <c r="D124" s="3">
        <v>45984</v>
      </c>
      <c r="E124" s="4" t="str">
        <f>TEXT(Table256[[#This Row],[Date]],"mmmm")</f>
        <v>November</v>
      </c>
      <c r="F124" s="4" t="s">
        <v>27</v>
      </c>
      <c r="G124" s="4">
        <v>325.98</v>
      </c>
      <c r="H124" s="4" t="s">
        <v>14</v>
      </c>
      <c r="I124" s="4">
        <f>Table256[[#This Row],[INCOME]]-Table256[[#This Row],[Amount]]</f>
        <v>19674.02</v>
      </c>
      <c r="J124" s="4">
        <v>20000</v>
      </c>
      <c r="K124" s="4" t="s">
        <v>28</v>
      </c>
    </row>
    <row r="125" spans="4:11" x14ac:dyDescent="0.3">
      <c r="D125" s="3">
        <v>45996</v>
      </c>
      <c r="E125" s="4" t="str">
        <f>TEXT(Table256[[#This Row],[Date]],"mmmm")</f>
        <v>December</v>
      </c>
      <c r="F125" s="4" t="s">
        <v>23</v>
      </c>
      <c r="G125" s="4">
        <v>8197.23</v>
      </c>
      <c r="H125" s="4" t="s">
        <v>14</v>
      </c>
      <c r="I125" s="4">
        <f>Table256[[#This Row],[INCOME]]-Table256[[#This Row],[Amount]]</f>
        <v>11802.77</v>
      </c>
      <c r="J125" s="4">
        <v>20000</v>
      </c>
      <c r="K125" s="4" t="s">
        <v>24</v>
      </c>
    </row>
    <row r="126" spans="4:11" x14ac:dyDescent="0.3">
      <c r="D126" s="3">
        <v>45718</v>
      </c>
      <c r="E126" s="4" t="str">
        <f>TEXT(Table256[[#This Row],[Date]],"mmmm")</f>
        <v>March</v>
      </c>
      <c r="F126" s="4" t="s">
        <v>19</v>
      </c>
      <c r="G126" s="4">
        <v>7648.87</v>
      </c>
      <c r="H126" s="4" t="s">
        <v>11</v>
      </c>
      <c r="I126" s="4">
        <f>Table256[[#This Row],[INCOME]]-Table256[[#This Row],[Amount]]</f>
        <v>12351.130000000001</v>
      </c>
      <c r="J126" s="4">
        <v>20000</v>
      </c>
      <c r="K126" s="4" t="s">
        <v>20</v>
      </c>
    </row>
    <row r="127" spans="4:11" x14ac:dyDescent="0.3">
      <c r="D127" s="3">
        <v>45852</v>
      </c>
      <c r="E127" s="4" t="str">
        <f>TEXT(Table256[[#This Row],[Date]],"mmmm")</f>
        <v>July</v>
      </c>
      <c r="F127" s="4" t="s">
        <v>21</v>
      </c>
      <c r="G127" s="4">
        <v>7149.78</v>
      </c>
      <c r="H127" s="4" t="s">
        <v>8</v>
      </c>
      <c r="I127" s="4">
        <f>Table256[[#This Row],[INCOME]]-Table256[[#This Row],[Amount]]</f>
        <v>12850.220000000001</v>
      </c>
      <c r="J127" s="4">
        <v>20000</v>
      </c>
      <c r="K127" s="4" t="s">
        <v>22</v>
      </c>
    </row>
    <row r="128" spans="4:11" x14ac:dyDescent="0.3">
      <c r="D128" s="3">
        <v>45974</v>
      </c>
      <c r="E128" s="4" t="str">
        <f>TEXT(Table256[[#This Row],[Date]],"mmmm")</f>
        <v>November</v>
      </c>
      <c r="F128" s="4" t="s">
        <v>23</v>
      </c>
      <c r="G128" s="4">
        <v>5673.58</v>
      </c>
      <c r="H128" s="4" t="s">
        <v>8</v>
      </c>
      <c r="I128" s="4">
        <f>Table256[[#This Row],[INCOME]]-Table256[[#This Row],[Amount]]</f>
        <v>14326.42</v>
      </c>
      <c r="J128" s="4">
        <v>20000</v>
      </c>
      <c r="K128" s="4" t="s">
        <v>24</v>
      </c>
    </row>
    <row r="129" spans="4:11" x14ac:dyDescent="0.3">
      <c r="D129" s="3">
        <v>45834</v>
      </c>
      <c r="E129" s="4" t="str">
        <f>TEXT(Table256[[#This Row],[Date]],"mmmm")</f>
        <v>June</v>
      </c>
      <c r="F129" s="4" t="s">
        <v>19</v>
      </c>
      <c r="G129" s="4">
        <v>4763.32</v>
      </c>
      <c r="H129" s="4" t="s">
        <v>11</v>
      </c>
      <c r="I129" s="4">
        <f>Table256[[#This Row],[INCOME]]-Table256[[#This Row],[Amount]]</f>
        <v>15236.68</v>
      </c>
      <c r="J129" s="4">
        <v>20000</v>
      </c>
      <c r="K129" s="4" t="s">
        <v>20</v>
      </c>
    </row>
    <row r="130" spans="4:11" x14ac:dyDescent="0.3">
      <c r="D130" s="3">
        <v>45976</v>
      </c>
      <c r="E130" s="4" t="str">
        <f>TEXT(Table256[[#This Row],[Date]],"mmmm")</f>
        <v>November</v>
      </c>
      <c r="F130" s="4" t="s">
        <v>25</v>
      </c>
      <c r="G130" s="4">
        <v>1377.39</v>
      </c>
      <c r="H130" s="4" t="s">
        <v>8</v>
      </c>
      <c r="I130" s="4">
        <f>Table256[[#This Row],[INCOME]]-Table256[[#This Row],[Amount]]</f>
        <v>18622.61</v>
      </c>
      <c r="J130" s="4">
        <v>20000</v>
      </c>
      <c r="K130" s="4" t="s">
        <v>26</v>
      </c>
    </row>
    <row r="131" spans="4:11" x14ac:dyDescent="0.3">
      <c r="D131" s="3">
        <v>45744</v>
      </c>
      <c r="E131" s="4" t="str">
        <f>TEXT(Table256[[#This Row],[Date]],"mmmm")</f>
        <v>March</v>
      </c>
      <c r="F131" s="4" t="s">
        <v>21</v>
      </c>
      <c r="G131" s="4">
        <v>7736.77</v>
      </c>
      <c r="H131" s="4" t="s">
        <v>11</v>
      </c>
      <c r="I131" s="4">
        <f>Table256[[#This Row],[INCOME]]-Table256[[#This Row],[Amount]]</f>
        <v>12263.23</v>
      </c>
      <c r="J131" s="4">
        <v>20000</v>
      </c>
      <c r="K131" s="4" t="s">
        <v>22</v>
      </c>
    </row>
    <row r="132" spans="4:11" x14ac:dyDescent="0.3">
      <c r="D132" s="3">
        <v>45726</v>
      </c>
      <c r="E132" s="4" t="str">
        <f>TEXT(Table256[[#This Row],[Date]],"mmmm")</f>
        <v>March</v>
      </c>
      <c r="F132" s="4" t="s">
        <v>23</v>
      </c>
      <c r="G132" s="4">
        <v>6808.7</v>
      </c>
      <c r="H132" s="4" t="s">
        <v>11</v>
      </c>
      <c r="I132" s="4">
        <f>Table256[[#This Row],[INCOME]]-Table256[[#This Row],[Amount]]</f>
        <v>13191.3</v>
      </c>
      <c r="J132" s="4">
        <v>20000</v>
      </c>
      <c r="K132" s="4" t="s">
        <v>24</v>
      </c>
    </row>
    <row r="133" spans="4:11" x14ac:dyDescent="0.3">
      <c r="D133" s="3">
        <v>45720</v>
      </c>
      <c r="E133" s="4" t="str">
        <f>TEXT(Table256[[#This Row],[Date]],"mmmm")</f>
        <v>March</v>
      </c>
      <c r="F133" s="4" t="s">
        <v>25</v>
      </c>
      <c r="G133" s="4">
        <v>2178.3200000000002</v>
      </c>
      <c r="H133" s="4" t="s">
        <v>16</v>
      </c>
      <c r="I133" s="4">
        <f>Table256[[#This Row],[INCOME]]-Table256[[#This Row],[Amount]]</f>
        <v>17821.68</v>
      </c>
      <c r="J133" s="4">
        <v>20000</v>
      </c>
      <c r="K133" s="4" t="s">
        <v>26</v>
      </c>
    </row>
    <row r="134" spans="4:11" x14ac:dyDescent="0.3">
      <c r="D134" s="3">
        <v>45771</v>
      </c>
      <c r="E134" s="4" t="str">
        <f>TEXT(Table256[[#This Row],[Date]],"mmmm")</f>
        <v>April</v>
      </c>
      <c r="F134" s="4" t="s">
        <v>19</v>
      </c>
      <c r="G134" s="4">
        <v>8795.02</v>
      </c>
      <c r="H134" s="4" t="s">
        <v>16</v>
      </c>
      <c r="I134" s="4">
        <f>Table256[[#This Row],[INCOME]]-Table256[[#This Row],[Amount]]</f>
        <v>11204.98</v>
      </c>
      <c r="J134" s="4">
        <v>20000</v>
      </c>
      <c r="K134" s="4" t="s">
        <v>20</v>
      </c>
    </row>
    <row r="135" spans="4:11" x14ac:dyDescent="0.3">
      <c r="D135" s="3">
        <v>45685</v>
      </c>
      <c r="E135" s="4" t="str">
        <f>TEXT(Table256[[#This Row],[Date]],"mmmm")</f>
        <v>January</v>
      </c>
      <c r="F135" s="4" t="s">
        <v>13</v>
      </c>
      <c r="G135" s="4">
        <v>4937.49</v>
      </c>
      <c r="H135" s="4" t="s">
        <v>11</v>
      </c>
      <c r="I135" s="4">
        <f>Table256[[#This Row],[INCOME]]-Table256[[#This Row],[Amount]]</f>
        <v>15062.51</v>
      </c>
      <c r="J135" s="4">
        <v>20000</v>
      </c>
      <c r="K135" s="4" t="s">
        <v>15</v>
      </c>
    </row>
    <row r="136" spans="4:11" x14ac:dyDescent="0.3">
      <c r="D136" s="3">
        <v>45768</v>
      </c>
      <c r="E136" s="4" t="str">
        <f>TEXT(Table256[[#This Row],[Date]],"mmmm")</f>
        <v>April</v>
      </c>
      <c r="F136" s="4" t="s">
        <v>25</v>
      </c>
      <c r="G136" s="4">
        <v>6702.28</v>
      </c>
      <c r="H136" s="4" t="s">
        <v>8</v>
      </c>
      <c r="I136" s="4">
        <f>Table256[[#This Row],[INCOME]]-Table256[[#This Row],[Amount]]</f>
        <v>13297.720000000001</v>
      </c>
      <c r="J136" s="4">
        <v>20000</v>
      </c>
      <c r="K136" s="4" t="s">
        <v>26</v>
      </c>
    </row>
    <row r="137" spans="4:11" x14ac:dyDescent="0.3">
      <c r="D137" s="3">
        <v>45869</v>
      </c>
      <c r="E137" s="4" t="str">
        <f>TEXT(Table256[[#This Row],[Date]],"mmmm")</f>
        <v>July</v>
      </c>
      <c r="F137" s="4" t="s">
        <v>7</v>
      </c>
      <c r="G137" s="4">
        <v>8452.2199999999993</v>
      </c>
      <c r="H137" s="4" t="s">
        <v>11</v>
      </c>
      <c r="I137" s="4">
        <f>Table256[[#This Row],[INCOME]]-Table256[[#This Row],[Amount]]</f>
        <v>11547.78</v>
      </c>
      <c r="J137" s="4">
        <v>20000</v>
      </c>
      <c r="K137" s="4" t="s">
        <v>9</v>
      </c>
    </row>
    <row r="138" spans="4:11" x14ac:dyDescent="0.3">
      <c r="D138" s="3">
        <v>45827</v>
      </c>
      <c r="E138" s="4" t="str">
        <f>TEXT(Table256[[#This Row],[Date]],"mmmm")</f>
        <v>June</v>
      </c>
      <c r="F138" s="4" t="s">
        <v>17</v>
      </c>
      <c r="G138" s="4">
        <v>7037.72</v>
      </c>
      <c r="H138" s="4" t="s">
        <v>11</v>
      </c>
      <c r="I138" s="4">
        <f>Table256[[#This Row],[INCOME]]-Table256[[#This Row],[Amount]]</f>
        <v>12962.279999999999</v>
      </c>
      <c r="J138" s="4">
        <v>20000</v>
      </c>
      <c r="K138" s="4" t="s">
        <v>18</v>
      </c>
    </row>
    <row r="139" spans="4:11" x14ac:dyDescent="0.3">
      <c r="D139" s="3">
        <v>45800</v>
      </c>
      <c r="E139" s="4" t="str">
        <f>TEXT(Table256[[#This Row],[Date]],"mmmm")</f>
        <v>May</v>
      </c>
      <c r="F139" s="4" t="s">
        <v>17</v>
      </c>
      <c r="G139" s="4">
        <v>7084.23</v>
      </c>
      <c r="H139" s="4" t="s">
        <v>14</v>
      </c>
      <c r="I139" s="4">
        <f>Table256[[#This Row],[INCOME]]-Table256[[#This Row],[Amount]]</f>
        <v>12915.77</v>
      </c>
      <c r="J139" s="4">
        <v>20000</v>
      </c>
      <c r="K139" s="4" t="s">
        <v>18</v>
      </c>
    </row>
    <row r="140" spans="4:11" x14ac:dyDescent="0.3">
      <c r="D140" s="3">
        <v>45682</v>
      </c>
      <c r="E140" s="4" t="str">
        <f>TEXT(Table256[[#This Row],[Date]],"mmmm")</f>
        <v>January</v>
      </c>
      <c r="F140" s="4" t="s">
        <v>25</v>
      </c>
      <c r="G140" s="4">
        <v>5633.95</v>
      </c>
      <c r="H140" s="4" t="s">
        <v>16</v>
      </c>
      <c r="I140" s="4">
        <f>Table256[[#This Row],[INCOME]]-Table256[[#This Row],[Amount]]</f>
        <v>14366.05</v>
      </c>
      <c r="J140" s="4">
        <v>20000</v>
      </c>
      <c r="K140" s="4" t="s">
        <v>26</v>
      </c>
    </row>
    <row r="141" spans="4:11" x14ac:dyDescent="0.3">
      <c r="D141" s="3">
        <v>45994</v>
      </c>
      <c r="E141" s="4" t="str">
        <f>TEXT(Table256[[#This Row],[Date]],"mmmm")</f>
        <v>December</v>
      </c>
      <c r="F141" s="4" t="s">
        <v>27</v>
      </c>
      <c r="G141" s="4">
        <v>4010.16</v>
      </c>
      <c r="H141" s="4" t="s">
        <v>16</v>
      </c>
      <c r="I141" s="4">
        <f>Table256[[#This Row],[INCOME]]-Table256[[#This Row],[Amount]]</f>
        <v>15989.84</v>
      </c>
      <c r="J141" s="4">
        <v>20000</v>
      </c>
      <c r="K141" s="4" t="s">
        <v>28</v>
      </c>
    </row>
    <row r="142" spans="4:11" x14ac:dyDescent="0.3">
      <c r="D142" s="3">
        <v>45701</v>
      </c>
      <c r="E142" s="4" t="str">
        <f>TEXT(Table256[[#This Row],[Date]],"mmmm")</f>
        <v>February</v>
      </c>
      <c r="F142" s="4" t="s">
        <v>10</v>
      </c>
      <c r="G142" s="4">
        <v>1595.75</v>
      </c>
      <c r="H142" s="4" t="s">
        <v>16</v>
      </c>
      <c r="I142" s="4">
        <f>Table256[[#This Row],[INCOME]]-Table256[[#This Row],[Amount]]</f>
        <v>18404.25</v>
      </c>
      <c r="J142" s="4">
        <v>20000</v>
      </c>
      <c r="K142" s="4" t="s">
        <v>12</v>
      </c>
    </row>
    <row r="143" spans="4:11" x14ac:dyDescent="0.3">
      <c r="D143" s="3">
        <v>45774</v>
      </c>
      <c r="E143" s="4" t="str">
        <f>TEXT(Table256[[#This Row],[Date]],"mmmm")</f>
        <v>April</v>
      </c>
      <c r="F143" s="4" t="s">
        <v>10</v>
      </c>
      <c r="G143" s="4">
        <v>6445.36</v>
      </c>
      <c r="H143" s="4" t="s">
        <v>11</v>
      </c>
      <c r="I143" s="4">
        <f>Table256[[#This Row],[INCOME]]-Table256[[#This Row],[Amount]]</f>
        <v>13554.64</v>
      </c>
      <c r="J143" s="4">
        <v>20000</v>
      </c>
      <c r="K143" s="4" t="s">
        <v>12</v>
      </c>
    </row>
    <row r="144" spans="4:11" x14ac:dyDescent="0.3">
      <c r="D144" s="3">
        <v>46021</v>
      </c>
      <c r="E144" s="4" t="str">
        <f>TEXT(Table256[[#This Row],[Date]],"mmmm")</f>
        <v>December</v>
      </c>
      <c r="F144" s="4" t="s">
        <v>25</v>
      </c>
      <c r="G144" s="4">
        <v>8862.4</v>
      </c>
      <c r="H144" s="4" t="s">
        <v>16</v>
      </c>
      <c r="I144" s="4">
        <f>Table256[[#This Row],[INCOME]]-Table256[[#This Row],[Amount]]</f>
        <v>11137.6</v>
      </c>
      <c r="J144" s="4">
        <v>20000</v>
      </c>
      <c r="K144" s="4" t="s">
        <v>26</v>
      </c>
    </row>
    <row r="145" spans="4:11" x14ac:dyDescent="0.3">
      <c r="D145" s="3">
        <v>45842</v>
      </c>
      <c r="E145" s="4" t="str">
        <f>TEXT(Table256[[#This Row],[Date]],"mmmm")</f>
        <v>July</v>
      </c>
      <c r="F145" s="4" t="s">
        <v>19</v>
      </c>
      <c r="G145" s="4">
        <v>7840.96</v>
      </c>
      <c r="H145" s="4" t="s">
        <v>8</v>
      </c>
      <c r="I145" s="4">
        <f>Table256[[#This Row],[INCOME]]-Table256[[#This Row],[Amount]]</f>
        <v>12159.04</v>
      </c>
      <c r="J145" s="4">
        <v>20000</v>
      </c>
      <c r="K145" s="4" t="s">
        <v>20</v>
      </c>
    </row>
    <row r="146" spans="4:11" x14ac:dyDescent="0.3">
      <c r="D146" s="3">
        <v>45691</v>
      </c>
      <c r="E146" s="4" t="str">
        <f>TEXT(Table256[[#This Row],[Date]],"mmmm")</f>
        <v>February</v>
      </c>
      <c r="F146" s="4" t="s">
        <v>10</v>
      </c>
      <c r="G146" s="4">
        <v>185.67</v>
      </c>
      <c r="H146" s="4" t="s">
        <v>8</v>
      </c>
      <c r="I146" s="4">
        <f>Table256[[#This Row],[INCOME]]-Table256[[#This Row],[Amount]]</f>
        <v>14814.33</v>
      </c>
      <c r="J146" s="4">
        <v>15000</v>
      </c>
      <c r="K146" s="4" t="s">
        <v>12</v>
      </c>
    </row>
    <row r="147" spans="4:11" x14ac:dyDescent="0.3">
      <c r="D147" s="3">
        <v>45982</v>
      </c>
      <c r="E147" s="4" t="str">
        <f>TEXT(Table256[[#This Row],[Date]],"mmmm")</f>
        <v>November</v>
      </c>
      <c r="F147" s="4" t="s">
        <v>7</v>
      </c>
      <c r="G147" s="4">
        <v>7308.08</v>
      </c>
      <c r="H147" s="4" t="s">
        <v>14</v>
      </c>
      <c r="I147" s="4">
        <f>Table256[[#This Row],[INCOME]]-Table256[[#This Row],[Amount]]</f>
        <v>7691.92</v>
      </c>
      <c r="J147" s="4">
        <v>15000</v>
      </c>
      <c r="K147" s="4" t="s">
        <v>9</v>
      </c>
    </row>
    <row r="148" spans="4:11" x14ac:dyDescent="0.3">
      <c r="D148" s="3">
        <v>45683</v>
      </c>
      <c r="E148" s="4" t="str">
        <f>TEXT(Table256[[#This Row],[Date]],"mmmm")</f>
        <v>January</v>
      </c>
      <c r="F148" s="4" t="s">
        <v>27</v>
      </c>
      <c r="G148" s="4">
        <v>8389.33</v>
      </c>
      <c r="H148" s="4" t="s">
        <v>16</v>
      </c>
      <c r="I148" s="4">
        <f>Table256[[#This Row],[INCOME]]-Table256[[#This Row],[Amount]]</f>
        <v>6610.67</v>
      </c>
      <c r="J148" s="4">
        <v>15000</v>
      </c>
      <c r="K148" s="4" t="s">
        <v>28</v>
      </c>
    </row>
    <row r="149" spans="4:11" x14ac:dyDescent="0.3">
      <c r="D149" s="3">
        <v>45999</v>
      </c>
      <c r="E149" s="4" t="str">
        <f>TEXT(Table256[[#This Row],[Date]],"mmmm")</f>
        <v>December</v>
      </c>
      <c r="F149" s="4" t="s">
        <v>25</v>
      </c>
      <c r="G149" s="4">
        <v>6447.07</v>
      </c>
      <c r="H149" s="4" t="s">
        <v>14</v>
      </c>
      <c r="I149" s="4">
        <f>Table256[[#This Row],[INCOME]]-Table256[[#This Row],[Amount]]</f>
        <v>8552.93</v>
      </c>
      <c r="J149" s="4">
        <v>15000</v>
      </c>
      <c r="K149" s="4" t="s">
        <v>26</v>
      </c>
    </row>
    <row r="150" spans="4:11" x14ac:dyDescent="0.3">
      <c r="D150" s="3">
        <v>45863</v>
      </c>
      <c r="E150" s="4" t="str">
        <f>TEXT(Table256[[#This Row],[Date]],"mmmm")</f>
        <v>July</v>
      </c>
      <c r="F150" s="4" t="s">
        <v>17</v>
      </c>
      <c r="G150" s="4">
        <v>8133.83</v>
      </c>
      <c r="H150" s="4" t="s">
        <v>14</v>
      </c>
      <c r="I150" s="4">
        <f>Table256[[#This Row],[INCOME]]-Table256[[#This Row],[Amount]]</f>
        <v>6866.17</v>
      </c>
      <c r="J150" s="4">
        <v>15000</v>
      </c>
      <c r="K150" s="4" t="s">
        <v>18</v>
      </c>
    </row>
    <row r="151" spans="4:11" x14ac:dyDescent="0.3">
      <c r="D151" s="3">
        <v>45751</v>
      </c>
      <c r="E151" s="4" t="str">
        <f>TEXT(Table256[[#This Row],[Date]],"mmmm")</f>
        <v>April</v>
      </c>
      <c r="F151" s="4" t="s">
        <v>13</v>
      </c>
      <c r="G151" s="4">
        <v>6350.66</v>
      </c>
      <c r="H151" s="4" t="s">
        <v>16</v>
      </c>
      <c r="I151" s="4">
        <f>Table256[[#This Row],[INCOME]]-Table256[[#This Row],[Amount]]</f>
        <v>8649.34</v>
      </c>
      <c r="J151" s="4">
        <v>15000</v>
      </c>
      <c r="K151" s="4" t="s">
        <v>15</v>
      </c>
    </row>
    <row r="152" spans="4:11" x14ac:dyDescent="0.3">
      <c r="D152" s="3">
        <v>45931</v>
      </c>
      <c r="E152" s="4" t="str">
        <f>TEXT(Table256[[#This Row],[Date]],"mmmm")</f>
        <v>October</v>
      </c>
      <c r="F152" s="4" t="s">
        <v>27</v>
      </c>
      <c r="G152" s="4">
        <v>7878.67</v>
      </c>
      <c r="H152" s="4" t="s">
        <v>16</v>
      </c>
      <c r="I152" s="4">
        <f>Table256[[#This Row],[INCOME]]-Table256[[#This Row],[Amount]]</f>
        <v>7121.33</v>
      </c>
      <c r="J152" s="4">
        <v>15000</v>
      </c>
      <c r="K152" s="4" t="s">
        <v>28</v>
      </c>
    </row>
    <row r="153" spans="4:11" x14ac:dyDescent="0.3">
      <c r="D153" s="3">
        <v>45967</v>
      </c>
      <c r="E153" s="4" t="str">
        <f>TEXT(Table256[[#This Row],[Date]],"mmmm")</f>
        <v>November</v>
      </c>
      <c r="F153" s="4" t="s">
        <v>27</v>
      </c>
      <c r="G153" s="4">
        <v>3681.29</v>
      </c>
      <c r="H153" s="4" t="s">
        <v>16</v>
      </c>
      <c r="I153" s="4">
        <f>Table256[[#This Row],[INCOME]]-Table256[[#This Row],[Amount]]</f>
        <v>16318.71</v>
      </c>
      <c r="J153" s="4">
        <v>20000</v>
      </c>
      <c r="K153" s="4" t="s">
        <v>28</v>
      </c>
    </row>
    <row r="154" spans="4:11" x14ac:dyDescent="0.3">
      <c r="D154" s="3">
        <v>45995</v>
      </c>
      <c r="E154" s="4" t="str">
        <f>TEXT(Table256[[#This Row],[Date]],"mmmm")</f>
        <v>December</v>
      </c>
      <c r="F154" s="4" t="s">
        <v>25</v>
      </c>
      <c r="G154" s="4">
        <v>5866.92</v>
      </c>
      <c r="H154" s="4" t="s">
        <v>16</v>
      </c>
      <c r="I154" s="4">
        <f>Table256[[#This Row],[INCOME]]-Table256[[#This Row],[Amount]]</f>
        <v>14133.08</v>
      </c>
      <c r="J154" s="4">
        <v>20000</v>
      </c>
      <c r="K154" s="4" t="s">
        <v>26</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46A49-9246-413F-8C50-16389A611E14}">
  <dimension ref="A3:AT42"/>
  <sheetViews>
    <sheetView zoomScale="75" workbookViewId="0">
      <selection activeCell="Z28" sqref="Z28"/>
    </sheetView>
  </sheetViews>
  <sheetFormatPr defaultRowHeight="14.4" x14ac:dyDescent="0.3"/>
  <cols>
    <col min="1" max="1" width="14.33203125" customWidth="1"/>
    <col min="2" max="2" width="15.5546875" customWidth="1"/>
    <col min="8" max="8" width="14.33203125" customWidth="1"/>
    <col min="9" max="9" width="15.5546875" customWidth="1"/>
    <col min="14" max="14" width="14.33203125" customWidth="1"/>
    <col min="15" max="15" width="15.5546875" customWidth="1"/>
    <col min="22" max="22" width="14.33203125" customWidth="1"/>
    <col min="23" max="23" width="16.5546875" customWidth="1"/>
    <col min="37" max="37" width="14.88671875" customWidth="1"/>
    <col min="38" max="38" width="18.21875" customWidth="1"/>
    <col min="39" max="39" width="14.88671875" customWidth="1"/>
    <col min="40" max="40" width="25.5546875" customWidth="1"/>
    <col min="41" max="41" width="14.88671875" customWidth="1"/>
    <col min="42" max="42" width="16.44140625" customWidth="1"/>
    <col min="43" max="43" width="11.5546875" customWidth="1"/>
  </cols>
  <sheetData>
    <row r="3" spans="1:46" x14ac:dyDescent="0.3">
      <c r="A3" t="s">
        <v>30</v>
      </c>
      <c r="H3" t="s">
        <v>31</v>
      </c>
      <c r="O3" t="s">
        <v>32</v>
      </c>
      <c r="W3" t="s">
        <v>5</v>
      </c>
    </row>
    <row r="4" spans="1:46" x14ac:dyDescent="0.3">
      <c r="S4" t="s">
        <v>29</v>
      </c>
    </row>
    <row r="5" spans="1:46" x14ac:dyDescent="0.3">
      <c r="A5" s="5" t="s">
        <v>33</v>
      </c>
      <c r="B5" t="s">
        <v>36</v>
      </c>
      <c r="H5" s="5" t="s">
        <v>33</v>
      </c>
      <c r="I5" t="s">
        <v>36</v>
      </c>
      <c r="N5" s="5" t="s">
        <v>33</v>
      </c>
      <c r="O5" t="s">
        <v>36</v>
      </c>
      <c r="S5">
        <v>20000</v>
      </c>
      <c r="V5" s="5" t="s">
        <v>33</v>
      </c>
      <c r="W5" t="s">
        <v>37</v>
      </c>
    </row>
    <row r="6" spans="1:46" x14ac:dyDescent="0.3">
      <c r="A6" s="6" t="s">
        <v>34</v>
      </c>
      <c r="B6" s="7">
        <v>67100.06</v>
      </c>
      <c r="H6" s="6" t="s">
        <v>11</v>
      </c>
      <c r="I6" s="7">
        <v>9466.19</v>
      </c>
      <c r="N6" s="6" t="s">
        <v>7</v>
      </c>
      <c r="O6" s="7">
        <v>12667.380000000001</v>
      </c>
      <c r="V6" s="6" t="s">
        <v>34</v>
      </c>
      <c r="W6" s="7">
        <v>214899.94</v>
      </c>
    </row>
    <row r="7" spans="1:46" x14ac:dyDescent="0.3">
      <c r="D7">
        <f>SUM(B6:B17)</f>
        <v>67100.06</v>
      </c>
      <c r="H7" s="6" t="s">
        <v>14</v>
      </c>
      <c r="I7" s="7">
        <v>19049.93</v>
      </c>
      <c r="N7" s="6" t="s">
        <v>17</v>
      </c>
      <c r="O7" s="7">
        <v>19393.03</v>
      </c>
    </row>
    <row r="8" spans="1:46" x14ac:dyDescent="0.3">
      <c r="H8" s="6" t="s">
        <v>8</v>
      </c>
      <c r="I8" s="7">
        <v>10830.279999999999</v>
      </c>
      <c r="N8" s="6" t="s">
        <v>27</v>
      </c>
      <c r="O8" s="7">
        <v>6501.42</v>
      </c>
      <c r="AK8" s="5" t="s">
        <v>33</v>
      </c>
      <c r="AL8" t="s">
        <v>37</v>
      </c>
    </row>
    <row r="9" spans="1:46" x14ac:dyDescent="0.3">
      <c r="H9" s="6" t="s">
        <v>16</v>
      </c>
      <c r="I9" s="7">
        <v>27753.66</v>
      </c>
      <c r="N9" s="6" t="s">
        <v>13</v>
      </c>
      <c r="O9" s="7">
        <v>1038.72</v>
      </c>
      <c r="S9">
        <f>SAVINGG</f>
        <v>0</v>
      </c>
      <c r="AK9" s="6" t="s">
        <v>38</v>
      </c>
      <c r="AL9" s="7">
        <v>220475.38</v>
      </c>
      <c r="AO9" s="5" t="s">
        <v>33</v>
      </c>
      <c r="AP9" t="s">
        <v>36</v>
      </c>
    </row>
    <row r="10" spans="1:46" x14ac:dyDescent="0.3">
      <c r="N10" s="6" t="s">
        <v>10</v>
      </c>
      <c r="O10" s="7">
        <v>8818.66</v>
      </c>
      <c r="AK10" s="6" t="s">
        <v>39</v>
      </c>
      <c r="AL10" s="7">
        <v>139979.37999999998</v>
      </c>
      <c r="AO10" s="6">
        <v>15000</v>
      </c>
      <c r="AP10" s="7">
        <v>44693.31</v>
      </c>
    </row>
    <row r="11" spans="1:46" x14ac:dyDescent="0.3">
      <c r="N11" s="6" t="s">
        <v>23</v>
      </c>
      <c r="O11" s="7">
        <v>14632.300000000001</v>
      </c>
      <c r="AK11" s="6" t="s">
        <v>40</v>
      </c>
      <c r="AL11" s="7">
        <v>196342.09999999998</v>
      </c>
      <c r="AO11" s="6">
        <v>20000</v>
      </c>
      <c r="AP11" s="7">
        <v>477375.31000000011</v>
      </c>
    </row>
    <row r="12" spans="1:46" x14ac:dyDescent="0.3">
      <c r="N12" s="6" t="s">
        <v>21</v>
      </c>
      <c r="O12" s="7">
        <v>4048.55</v>
      </c>
      <c r="AK12" s="6" t="s">
        <v>41</v>
      </c>
      <c r="AL12" s="7">
        <v>200643.6</v>
      </c>
      <c r="AO12" s="6">
        <v>22000</v>
      </c>
      <c r="AP12" s="7">
        <v>29682.41</v>
      </c>
      <c r="AT12">
        <f>$AQ$9-AP9:AP124</f>
        <v>-29682.41</v>
      </c>
    </row>
    <row r="13" spans="1:46" x14ac:dyDescent="0.3">
      <c r="AK13" s="6" t="s">
        <v>34</v>
      </c>
      <c r="AL13" s="7">
        <v>214899.93999999997</v>
      </c>
      <c r="AO13" s="6">
        <v>30000</v>
      </c>
      <c r="AP13" s="7">
        <v>34046.5</v>
      </c>
    </row>
    <row r="14" spans="1:46" x14ac:dyDescent="0.3">
      <c r="AK14" s="6" t="s">
        <v>42</v>
      </c>
      <c r="AL14" s="7">
        <v>203678.18999999997</v>
      </c>
      <c r="AO14" s="6">
        <v>31000</v>
      </c>
      <c r="AP14" s="7">
        <v>38166.26</v>
      </c>
    </row>
    <row r="15" spans="1:46" x14ac:dyDescent="0.3">
      <c r="AK15" s="6" t="s">
        <v>43</v>
      </c>
      <c r="AL15" s="7">
        <v>416365.09999999986</v>
      </c>
      <c r="AO15" s="6">
        <v>32000</v>
      </c>
      <c r="AP15" s="7">
        <v>22281.380000000005</v>
      </c>
      <c r="AR15">
        <f>AO10:AO17-AP10:AP17</f>
        <v>9718.6199999999953</v>
      </c>
    </row>
    <row r="16" spans="1:46" x14ac:dyDescent="0.3">
      <c r="AK16" s="6" t="s">
        <v>44</v>
      </c>
      <c r="AL16" s="7">
        <v>241696.88</v>
      </c>
      <c r="AO16" s="6">
        <v>35000</v>
      </c>
      <c r="AP16" s="7">
        <v>52326.3</v>
      </c>
    </row>
    <row r="17" spans="37:42" x14ac:dyDescent="0.3">
      <c r="AK17" s="6" t="s">
        <v>45</v>
      </c>
      <c r="AL17" s="7">
        <v>305101.51999999996</v>
      </c>
      <c r="AO17" s="6">
        <v>40000</v>
      </c>
      <c r="AP17" s="7">
        <v>3454.2</v>
      </c>
    </row>
    <row r="18" spans="37:42" x14ac:dyDescent="0.3">
      <c r="AK18" s="6" t="s">
        <v>46</v>
      </c>
      <c r="AL18" s="7">
        <v>239584.75000000003</v>
      </c>
      <c r="AO18" s="6" t="s">
        <v>35</v>
      </c>
      <c r="AP18" s="7">
        <v>702025.67000000016</v>
      </c>
    </row>
    <row r="19" spans="37:42" x14ac:dyDescent="0.3">
      <c r="AK19" s="6" t="s">
        <v>47</v>
      </c>
      <c r="AL19" s="7">
        <v>238426.74</v>
      </c>
    </row>
    <row r="20" spans="37:42" x14ac:dyDescent="0.3">
      <c r="AK20" s="6" t="s">
        <v>48</v>
      </c>
      <c r="AL20" s="7">
        <v>134780.75</v>
      </c>
    </row>
    <row r="21" spans="37:42" x14ac:dyDescent="0.3">
      <c r="AK21" s="6" t="s">
        <v>35</v>
      </c>
      <c r="AL21" s="7">
        <v>2751974.33</v>
      </c>
    </row>
    <row r="28" spans="37:42" x14ac:dyDescent="0.3">
      <c r="AM28" s="5" t="s">
        <v>33</v>
      </c>
      <c r="AN28" t="s">
        <v>51</v>
      </c>
      <c r="AP28">
        <f>GETPIVOTDATA("Sum of SAVINGS",$AM$28,"Row Labels","Jan")</f>
        <v>220475.38</v>
      </c>
    </row>
    <row r="29" spans="37:42" x14ac:dyDescent="0.3">
      <c r="AM29" s="6" t="s">
        <v>38</v>
      </c>
      <c r="AN29" s="7">
        <v>220475.38</v>
      </c>
    </row>
    <row r="30" spans="37:42" x14ac:dyDescent="0.3">
      <c r="AM30" s="6" t="s">
        <v>39</v>
      </c>
      <c r="AN30" s="7">
        <v>139979.37999999998</v>
      </c>
    </row>
    <row r="31" spans="37:42" x14ac:dyDescent="0.3">
      <c r="AM31" s="6" t="s">
        <v>40</v>
      </c>
      <c r="AN31" s="7">
        <v>196342.09999999998</v>
      </c>
    </row>
    <row r="32" spans="37:42" x14ac:dyDescent="0.3">
      <c r="AM32" s="6" t="s">
        <v>41</v>
      </c>
      <c r="AN32" s="7">
        <v>200643.6</v>
      </c>
    </row>
    <row r="33" spans="39:40" x14ac:dyDescent="0.3">
      <c r="AM33" s="6" t="s">
        <v>34</v>
      </c>
      <c r="AN33" s="7">
        <v>214899.93999999997</v>
      </c>
    </row>
    <row r="34" spans="39:40" x14ac:dyDescent="0.3">
      <c r="AM34" s="6" t="s">
        <v>42</v>
      </c>
      <c r="AN34" s="7">
        <v>203678.18999999997</v>
      </c>
    </row>
    <row r="35" spans="39:40" x14ac:dyDescent="0.3">
      <c r="AM35" s="6" t="s">
        <v>43</v>
      </c>
      <c r="AN35" s="7">
        <v>416365.09999999986</v>
      </c>
    </row>
    <row r="36" spans="39:40" x14ac:dyDescent="0.3">
      <c r="AM36" s="6" t="s">
        <v>44</v>
      </c>
      <c r="AN36" s="7">
        <v>241696.88</v>
      </c>
    </row>
    <row r="37" spans="39:40" x14ac:dyDescent="0.3">
      <c r="AM37" s="6" t="s">
        <v>45</v>
      </c>
      <c r="AN37" s="7">
        <v>305101.51999999996</v>
      </c>
    </row>
    <row r="38" spans="39:40" x14ac:dyDescent="0.3">
      <c r="AM38" s="6" t="s">
        <v>46</v>
      </c>
      <c r="AN38" s="7">
        <v>239584.75000000003</v>
      </c>
    </row>
    <row r="39" spans="39:40" x14ac:dyDescent="0.3">
      <c r="AM39" s="6" t="s">
        <v>47</v>
      </c>
      <c r="AN39" s="7">
        <v>238426.74</v>
      </c>
    </row>
    <row r="40" spans="39:40" x14ac:dyDescent="0.3">
      <c r="AM40" s="6" t="s">
        <v>48</v>
      </c>
      <c r="AN40" s="7">
        <v>134780.75</v>
      </c>
    </row>
    <row r="41" spans="39:40" x14ac:dyDescent="0.3">
      <c r="AM41" s="6" t="s">
        <v>35</v>
      </c>
      <c r="AN41" s="7">
        <v>2751974.33</v>
      </c>
    </row>
    <row r="42" spans="39:40" x14ac:dyDescent="0.3">
      <c r="AM42" s="6" t="s">
        <v>35</v>
      </c>
      <c r="AN42" s="7">
        <v>5503948.6600000001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32E2-4E53-4BF2-895F-D0AF5E436600}">
  <dimension ref="AL12:AL23"/>
  <sheetViews>
    <sheetView tabSelected="1" topLeftCell="B1" zoomScale="81" workbookViewId="0">
      <selection activeCell="Q50" sqref="Q50"/>
    </sheetView>
  </sheetViews>
  <sheetFormatPr defaultRowHeight="14.4" x14ac:dyDescent="0.3"/>
  <cols>
    <col min="38" max="38" width="14" customWidth="1"/>
  </cols>
  <sheetData>
    <row r="12" spans="38:38" x14ac:dyDescent="0.3">
      <c r="AL12">
        <f>SUM(CHARTS!D7)</f>
        <v>67100.06</v>
      </c>
    </row>
    <row r="15" spans="38:38" x14ac:dyDescent="0.3">
      <c r="AL15" t="str">
        <f>INDEX(CHARTS!N6:N13, MATCH(MAX(CHARTS!O6:O13), CHARTS!O6:O13, 0))</f>
        <v>Entertainment</v>
      </c>
    </row>
    <row r="17" spans="38:38" x14ac:dyDescent="0.3">
      <c r="AL17">
        <f>INCOME-AMOUNT</f>
        <v>11786.21</v>
      </c>
    </row>
    <row r="21" spans="38:38" x14ac:dyDescent="0.3">
      <c r="AL21">
        <f>GETPIVOTDATA("Sum of SAVINGS",CHARTS!$AM$28,"Row Labels","Jan")</f>
        <v>220475.38</v>
      </c>
    </row>
    <row r="23" spans="38:38" x14ac:dyDescent="0.3">
      <c r="AL23">
        <f>CHARTS!S9</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DATA</vt:lpstr>
      <vt:lpstr>CHARTS</vt:lpstr>
      <vt:lpstr>DASHBOARD</vt:lpstr>
      <vt:lpstr>AMOUNT</vt:lpstr>
      <vt:lpstr>INCOME</vt:lpstr>
      <vt:lpstr>MONTH</vt:lpstr>
      <vt:lpstr>PAYMENT</vt:lpstr>
      <vt:lpstr>SAVINGG</vt:lpstr>
      <vt:lpstr>SAVINGS</vt:lpstr>
      <vt:lpstr>Sum_of_SAVINGS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 Divya</dc:creator>
  <cp:lastModifiedBy>Divya.m Divya</cp:lastModifiedBy>
  <dcterms:created xsi:type="dcterms:W3CDTF">2025-04-12T14:34:02Z</dcterms:created>
  <dcterms:modified xsi:type="dcterms:W3CDTF">2025-04-13T06:32:00Z</dcterms:modified>
</cp:coreProperties>
</file>